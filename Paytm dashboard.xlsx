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drawings/drawing3.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mc:AlternateContent xmlns:mc="http://schemas.openxmlformats.org/markup-compatibility/2006">
    <mc:Choice Requires="x15">
      <x15ac:absPath xmlns:x15ac="http://schemas.microsoft.com/office/spreadsheetml/2010/11/ac" url="https://d.docs.live.net/0b59b31d09de1465/Documents/Excel/"/>
    </mc:Choice>
  </mc:AlternateContent>
  <xr:revisionPtr revIDLastSave="26" documentId="13_ncr:1_{CD2EB0D3-82AF-42AF-87FD-13A2D6B3AA84}" xr6:coauthVersionLast="47" xr6:coauthVersionMax="47" xr10:uidLastSave="{E807BE3F-EF28-4416-A46D-6E6D58EF56D9}"/>
  <bookViews>
    <workbookView xWindow="-110" yWindow="-110" windowWidth="19420" windowHeight="11500" activeTab="3" xr2:uid="{00000000-000D-0000-FFFF-FFFF00000000}"/>
  </bookViews>
  <sheets>
    <sheet name="Sheet2" sheetId="7" r:id="rId1"/>
    <sheet name="Sheet1" sheetId="11" r:id="rId2"/>
    <sheet name="Sheet3" sheetId="13" r:id="rId3"/>
    <sheet name="Sheet4" sheetId="14" r:id="rId4"/>
  </sheets>
  <definedNames>
    <definedName name="Slicer_Bank">#N/A</definedName>
    <definedName name="Slicer_City">#N/A</definedName>
    <definedName name="Slicer_Hour_of_Day">#N/A</definedName>
    <definedName name="Slicer_Status">#N/A</definedName>
  </definedNames>
  <calcPr calcId="191028"/>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7" i="14" l="1"/>
  <c r="O7" i="14"/>
  <c r="G2" i="11"/>
  <c r="D8" i="11"/>
  <c r="J14" i="11"/>
</calcChain>
</file>

<file path=xl/sharedStrings.xml><?xml version="1.0" encoding="utf-8"?>
<sst xmlns="http://schemas.openxmlformats.org/spreadsheetml/2006/main" count="352" uniqueCount="136">
  <si>
    <t>Txn_ID</t>
  </si>
  <si>
    <t>User_ID</t>
  </si>
  <si>
    <t>City</t>
  </si>
  <si>
    <t>Bank</t>
  </si>
  <si>
    <t>Device</t>
  </si>
  <si>
    <t>Hour_of_Day</t>
  </si>
  <si>
    <t>Amount</t>
  </si>
  <si>
    <t>Status</t>
  </si>
  <si>
    <t>T001</t>
  </si>
  <si>
    <t>U01</t>
  </si>
  <si>
    <t>Delhi</t>
  </si>
  <si>
    <t>HDFC</t>
  </si>
  <si>
    <t>Android</t>
  </si>
  <si>
    <t>Success</t>
  </si>
  <si>
    <t>T002</t>
  </si>
  <si>
    <t>U02</t>
  </si>
  <si>
    <t>Mumbai</t>
  </si>
  <si>
    <t>SBI</t>
  </si>
  <si>
    <t>iPhone</t>
  </si>
  <si>
    <t>Failed</t>
  </si>
  <si>
    <t>T003</t>
  </si>
  <si>
    <t>U03</t>
  </si>
  <si>
    <t>Pune</t>
  </si>
  <si>
    <t>ICICI</t>
  </si>
  <si>
    <t>T004</t>
  </si>
  <si>
    <t>U04</t>
  </si>
  <si>
    <t>Indore</t>
  </si>
  <si>
    <t>T005</t>
  </si>
  <si>
    <t>U05</t>
  </si>
  <si>
    <t>Jaipur</t>
  </si>
  <si>
    <t>T006</t>
  </si>
  <si>
    <t>U06</t>
  </si>
  <si>
    <t>T007</t>
  </si>
  <si>
    <t>U07</t>
  </si>
  <si>
    <t>T008</t>
  </si>
  <si>
    <t>U08</t>
  </si>
  <si>
    <t>Gurgaon</t>
  </si>
  <si>
    <t>PNB</t>
  </si>
  <si>
    <t>T018</t>
  </si>
  <si>
    <t>U18</t>
  </si>
  <si>
    <t>T019</t>
  </si>
  <si>
    <t>U19</t>
  </si>
  <si>
    <t>Lucknow</t>
  </si>
  <si>
    <t>T020</t>
  </si>
  <si>
    <t>U20</t>
  </si>
  <si>
    <t>T021</t>
  </si>
  <si>
    <t>U21</t>
  </si>
  <si>
    <t>T022</t>
  </si>
  <si>
    <t>U22</t>
  </si>
  <si>
    <t>Axis</t>
  </si>
  <si>
    <t>T023</t>
  </si>
  <si>
    <t>U23</t>
  </si>
  <si>
    <t>T024</t>
  </si>
  <si>
    <t>U24</t>
  </si>
  <si>
    <t>T025</t>
  </si>
  <si>
    <t>U25</t>
  </si>
  <si>
    <t>T026</t>
  </si>
  <si>
    <t>U26</t>
  </si>
  <si>
    <t>T027</t>
  </si>
  <si>
    <t>U27</t>
  </si>
  <si>
    <t>T028</t>
  </si>
  <si>
    <t>U28</t>
  </si>
  <si>
    <t>T029</t>
  </si>
  <si>
    <t>U29</t>
  </si>
  <si>
    <t>T030</t>
  </si>
  <si>
    <t>U30</t>
  </si>
  <si>
    <t>T031</t>
  </si>
  <si>
    <t>U31</t>
  </si>
  <si>
    <t>T032</t>
  </si>
  <si>
    <t>U32</t>
  </si>
  <si>
    <t>T033</t>
  </si>
  <si>
    <t>U33</t>
  </si>
  <si>
    <t>T034</t>
  </si>
  <si>
    <t>U34</t>
  </si>
  <si>
    <t>T035</t>
  </si>
  <si>
    <t>U35</t>
  </si>
  <si>
    <t>T036</t>
  </si>
  <si>
    <t>U36</t>
  </si>
  <si>
    <t>T037</t>
  </si>
  <si>
    <t>U37</t>
  </si>
  <si>
    <t>T038</t>
  </si>
  <si>
    <t>U38</t>
  </si>
  <si>
    <t>T039</t>
  </si>
  <si>
    <t>U39</t>
  </si>
  <si>
    <t>T040</t>
  </si>
  <si>
    <t>U40</t>
  </si>
  <si>
    <t>T041</t>
  </si>
  <si>
    <t>U41</t>
  </si>
  <si>
    <t>T042</t>
  </si>
  <si>
    <t>U42</t>
  </si>
  <si>
    <t>T043</t>
  </si>
  <si>
    <t>U43</t>
  </si>
  <si>
    <t>T044</t>
  </si>
  <si>
    <t>U44</t>
  </si>
  <si>
    <t>T045</t>
  </si>
  <si>
    <t>U45</t>
  </si>
  <si>
    <t>T046</t>
  </si>
  <si>
    <t>U46</t>
  </si>
  <si>
    <t>T047</t>
  </si>
  <si>
    <t>U47</t>
  </si>
  <si>
    <t>T048</t>
  </si>
  <si>
    <t>U48</t>
  </si>
  <si>
    <t>T049</t>
  </si>
  <si>
    <t>U49</t>
  </si>
  <si>
    <t>T050</t>
  </si>
  <si>
    <t>U50</t>
  </si>
  <si>
    <t>T051</t>
  </si>
  <si>
    <t>U51</t>
  </si>
  <si>
    <t>T052</t>
  </si>
  <si>
    <t>U52</t>
  </si>
  <si>
    <t>T053</t>
  </si>
  <si>
    <t>U53</t>
  </si>
  <si>
    <t>T054</t>
  </si>
  <si>
    <t>U54</t>
  </si>
  <si>
    <t>T055</t>
  </si>
  <si>
    <t>U55</t>
  </si>
  <si>
    <t>T056</t>
  </si>
  <si>
    <t>U56</t>
  </si>
  <si>
    <t>T057</t>
  </si>
  <si>
    <t>U57</t>
  </si>
  <si>
    <t>T058</t>
  </si>
  <si>
    <t>U58</t>
  </si>
  <si>
    <t>T059</t>
  </si>
  <si>
    <t>U59</t>
  </si>
  <si>
    <t>T060</t>
  </si>
  <si>
    <t>U60</t>
  </si>
  <si>
    <t>Grand Total</t>
  </si>
  <si>
    <t>Sum of Amount</t>
  </si>
  <si>
    <t>Count of User_ID</t>
  </si>
  <si>
    <t xml:space="preserve"> </t>
  </si>
  <si>
    <t>Total - Sales</t>
  </si>
  <si>
    <t>Row Labels</t>
  </si>
  <si>
    <t>Paytm - UPI - Dashboard</t>
  </si>
  <si>
    <t xml:space="preserve">TOTAL - SALES </t>
  </si>
  <si>
    <t>COUNT - OF USERS</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</si>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</sst>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8" x14ac:knownFonts="1">
    <font>
      <sz val="11"/>
      <color theme="1"/>
      <name val="Calibri"/>
      <family val="2"/>
      <scheme val="minor"/>
    </font>
    <font>
      <b/>
      <sz val="11"/>
      <color theme="1"/>
      <name val="Calibri"/>
      <family val="2"/>
      <scheme val="minor"/>
    </font>
    <font>
      <b/>
      <sz val="14"/>
      <color theme="1"/>
      <name val="Calibri"/>
      <family val="2"/>
      <scheme val="minor"/>
    </font>
    <font>
      <b/>
      <sz val="16"/>
      <color theme="1"/>
      <name val="Calibri"/>
      <family val="2"/>
      <scheme val="minor"/>
    </font>
    <font>
      <b/>
      <u/>
      <sz val="26"/>
      <color theme="1"/>
      <name val="Calibri"/>
      <family val="2"/>
      <scheme val="minor"/>
    </font>
    <font>
      <b/>
      <sz val="20"/>
      <color theme="1"/>
      <name val="Calibri"/>
      <family val="2"/>
      <scheme val="minor"/>
    </font>
    <font>
      <b/>
      <sz val="26"/>
      <color theme="1"/>
      <name val="Calibri"/>
      <family val="2"/>
      <scheme val="minor"/>
    </font>
    <font>
      <sz val="14"/>
      <color theme="1"/>
      <name val="Calibri"/>
      <family val="2"/>
      <scheme val="minor"/>
    </font>
  </fonts>
  <fills count="5">
    <fill>
      <patternFill patternType="none"/>
    </fill>
    <fill>
      <patternFill patternType="gray125"/>
    </fill>
    <fill>
      <patternFill patternType="solid">
        <fgColor rgb="FFB7E1CD"/>
        <bgColor indexed="64"/>
      </patternFill>
    </fill>
    <fill>
      <patternFill patternType="solid">
        <fgColor theme="5" tint="0.39997558519241921"/>
        <bgColor indexed="64"/>
      </patternFill>
    </fill>
    <fill>
      <patternFill patternType="solid">
        <fgColor theme="5" tint="0.59999389629810485"/>
        <bgColor indexed="64"/>
      </patternFill>
    </fill>
  </fills>
  <borders count="22">
    <border>
      <left/>
      <right/>
      <top/>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CCCCCC"/>
      </left>
      <right style="medium">
        <color rgb="FFCCCCCC"/>
      </right>
      <top style="medium">
        <color rgb="FFCCCCCC"/>
      </top>
      <bottom style="medium">
        <color rgb="FFCCCCCC"/>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52">
    <xf numFmtId="0" fontId="0" fillId="0" borderId="0" xfId="0"/>
    <xf numFmtId="0" fontId="1" fillId="0" borderId="1" xfId="0" applyFont="1" applyBorder="1" applyAlignment="1">
      <alignment horizontal="center" vertical="top" wrapText="1"/>
    </xf>
    <xf numFmtId="0" fontId="1" fillId="0" borderId="2" xfId="0" applyFont="1" applyBorder="1" applyAlignment="1">
      <alignment horizontal="center" vertical="top" wrapText="1"/>
    </xf>
    <xf numFmtId="0" fontId="0" fillId="0" borderId="3" xfId="0" applyBorder="1" applyAlignment="1">
      <alignment wrapText="1"/>
    </xf>
    <xf numFmtId="0" fontId="0" fillId="0" borderId="3" xfId="0" applyBorder="1" applyAlignment="1">
      <alignment horizontal="right" wrapText="1"/>
    </xf>
    <xf numFmtId="0" fontId="0" fillId="2" borderId="3" xfId="0" applyFill="1" applyBorder="1" applyAlignment="1">
      <alignment wrapText="1"/>
    </xf>
    <xf numFmtId="0" fontId="0" fillId="0" borderId="0" xfId="0" pivotButton="1"/>
    <xf numFmtId="0" fontId="0" fillId="0" borderId="0" xfId="0" applyAlignment="1">
      <alignment horizontal="left"/>
    </xf>
    <xf numFmtId="0" fontId="3" fillId="0" borderId="0" xfId="0" applyFont="1" applyAlignment="1">
      <alignment horizontal="center" vertical="center"/>
    </xf>
    <xf numFmtId="0" fontId="0" fillId="0" borderId="0" xfId="0" applyAlignment="1">
      <alignment horizontal="center" vertical="center"/>
    </xf>
    <xf numFmtId="0" fontId="2" fillId="0" borderId="0" xfId="0" applyFont="1" applyAlignment="1">
      <alignment horizontal="center"/>
    </xf>
    <xf numFmtId="0" fontId="4" fillId="3" borderId="12" xfId="0" applyFont="1" applyFill="1" applyBorder="1" applyAlignment="1">
      <alignment horizontal="center" vertical="center"/>
    </xf>
    <xf numFmtId="0" fontId="0" fillId="3" borderId="12" xfId="0" applyFill="1" applyBorder="1" applyAlignment="1">
      <alignment horizontal="center" vertical="center"/>
    </xf>
    <xf numFmtId="0" fontId="0" fillId="3" borderId="13" xfId="0" applyFill="1" applyBorder="1" applyAlignment="1">
      <alignment horizontal="center" vertical="center"/>
    </xf>
    <xf numFmtId="0" fontId="5" fillId="4" borderId="14" xfId="0" applyFont="1" applyFill="1" applyBorder="1" applyAlignment="1">
      <alignment horizontal="center" vertical="center"/>
    </xf>
    <xf numFmtId="0" fontId="0" fillId="4" borderId="15" xfId="0" applyFill="1" applyBorder="1" applyAlignment="1">
      <alignment horizontal="center" vertical="center"/>
    </xf>
    <xf numFmtId="0" fontId="0" fillId="4" borderId="16" xfId="0" applyFill="1" applyBorder="1" applyAlignment="1">
      <alignment horizontal="center" vertical="center"/>
    </xf>
    <xf numFmtId="0" fontId="0" fillId="4" borderId="17" xfId="0" applyFill="1" applyBorder="1" applyAlignment="1">
      <alignment horizontal="center" vertical="center"/>
    </xf>
    <xf numFmtId="0" fontId="0" fillId="4" borderId="0" xfId="0" applyFill="1" applyAlignment="1">
      <alignment horizontal="center" vertical="center"/>
    </xf>
    <xf numFmtId="0" fontId="0" fillId="4" borderId="18" xfId="0" applyFill="1" applyBorder="1" applyAlignment="1">
      <alignment horizontal="center" vertical="center"/>
    </xf>
    <xf numFmtId="0" fontId="0" fillId="4" borderId="19" xfId="0" applyFill="1" applyBorder="1" applyAlignment="1">
      <alignment horizontal="center" vertical="center"/>
    </xf>
    <xf numFmtId="0" fontId="0" fillId="4" borderId="20" xfId="0" applyFill="1" applyBorder="1" applyAlignment="1">
      <alignment horizontal="center" vertical="center"/>
    </xf>
    <xf numFmtId="0" fontId="0" fillId="4" borderId="21" xfId="0" applyFill="1" applyBorder="1" applyAlignment="1">
      <alignment horizontal="center" vertical="center"/>
    </xf>
    <xf numFmtId="0" fontId="6" fillId="4" borderId="14" xfId="0" applyFont="1" applyFill="1" applyBorder="1" applyAlignment="1">
      <alignment horizontal="center" vertical="center"/>
    </xf>
    <xf numFmtId="0" fontId="6" fillId="4" borderId="15" xfId="0" applyFont="1" applyFill="1" applyBorder="1" applyAlignment="1">
      <alignment horizontal="center" vertical="center"/>
    </xf>
    <xf numFmtId="0" fontId="6" fillId="4" borderId="16" xfId="0" applyFont="1" applyFill="1" applyBorder="1" applyAlignment="1">
      <alignment horizontal="center" vertical="center"/>
    </xf>
    <xf numFmtId="0" fontId="6" fillId="4" borderId="17" xfId="0" applyFont="1" applyFill="1" applyBorder="1" applyAlignment="1">
      <alignment horizontal="center" vertical="center"/>
    </xf>
    <xf numFmtId="0" fontId="6" fillId="4" borderId="0" xfId="0" applyFont="1" applyFill="1" applyAlignment="1">
      <alignment horizontal="center" vertical="center"/>
    </xf>
    <xf numFmtId="0" fontId="6" fillId="4" borderId="18" xfId="0" applyFont="1" applyFill="1" applyBorder="1" applyAlignment="1">
      <alignment horizontal="center" vertical="center"/>
    </xf>
    <xf numFmtId="0" fontId="6" fillId="4" borderId="19" xfId="0" applyFont="1" applyFill="1" applyBorder="1" applyAlignment="1">
      <alignment horizontal="center" vertical="center"/>
    </xf>
    <xf numFmtId="0" fontId="6" fillId="4" borderId="20" xfId="0" applyFont="1" applyFill="1" applyBorder="1" applyAlignment="1">
      <alignment horizontal="center" vertical="center"/>
    </xf>
    <xf numFmtId="0" fontId="6" fillId="4" borderId="21" xfId="0" applyFont="1" applyFill="1" applyBorder="1" applyAlignment="1">
      <alignment horizontal="center" vertical="center"/>
    </xf>
    <xf numFmtId="0" fontId="2" fillId="4" borderId="14" xfId="0" applyFont="1" applyFill="1" applyBorder="1" applyAlignment="1">
      <alignment horizontal="center" vertical="center"/>
    </xf>
    <xf numFmtId="0" fontId="7" fillId="4" borderId="16" xfId="0" applyFont="1" applyFill="1" applyBorder="1" applyAlignment="1">
      <alignment horizontal="center" vertical="center"/>
    </xf>
    <xf numFmtId="0" fontId="7" fillId="4" borderId="17" xfId="0" applyFont="1" applyFill="1" applyBorder="1" applyAlignment="1">
      <alignment horizontal="center" vertical="center"/>
    </xf>
    <xf numFmtId="0" fontId="7" fillId="4" borderId="18" xfId="0" applyFont="1" applyFill="1" applyBorder="1" applyAlignment="1">
      <alignment horizontal="center" vertical="center"/>
    </xf>
    <xf numFmtId="0" fontId="7" fillId="4" borderId="19" xfId="0" applyFont="1" applyFill="1" applyBorder="1" applyAlignment="1">
      <alignment horizontal="center" vertical="center"/>
    </xf>
    <xf numFmtId="0" fontId="7" fillId="4" borderId="21" xfId="0" applyFont="1" applyFill="1" applyBorder="1" applyAlignment="1">
      <alignment horizontal="center" vertical="center"/>
    </xf>
    <xf numFmtId="0" fontId="3" fillId="4" borderId="14" xfId="0" applyFont="1" applyFill="1" applyBorder="1" applyAlignment="1">
      <alignment horizontal="center" vertical="center"/>
    </xf>
    <xf numFmtId="0" fontId="3" fillId="4" borderId="16" xfId="0" applyFont="1" applyFill="1" applyBorder="1" applyAlignment="1">
      <alignment horizontal="center" vertical="center"/>
    </xf>
    <xf numFmtId="0" fontId="3" fillId="4" borderId="17" xfId="0" applyFont="1" applyFill="1" applyBorder="1" applyAlignment="1">
      <alignment horizontal="center" vertical="center"/>
    </xf>
    <xf numFmtId="0" fontId="3" fillId="4" borderId="18" xfId="0" applyFont="1" applyFill="1" applyBorder="1" applyAlignment="1">
      <alignment horizontal="center" vertical="center"/>
    </xf>
    <xf numFmtId="0" fontId="3" fillId="4" borderId="19" xfId="0" applyFont="1" applyFill="1" applyBorder="1" applyAlignment="1">
      <alignment horizontal="center" vertical="center"/>
    </xf>
    <xf numFmtId="0" fontId="3" fillId="4" borderId="21" xfId="0" applyFont="1" applyFill="1" applyBorder="1" applyAlignment="1">
      <alignment horizontal="center" vertical="center"/>
    </xf>
    <xf numFmtId="0" fontId="3" fillId="0" borderId="6" xfId="0" applyFont="1"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0" fontId="0" fillId="0" borderId="9" xfId="0" applyBorder="1" applyAlignment="1">
      <alignment horizontal="center" vertical="center"/>
    </xf>
    <xf numFmtId="0" fontId="0" fillId="0" borderId="10" xfId="0" applyBorder="1" applyAlignment="1">
      <alignment horizontal="center" vertical="center"/>
    </xf>
    <xf numFmtId="0" fontId="0" fillId="0" borderId="11" xfId="0" applyBorder="1" applyAlignment="1">
      <alignment horizontal="center" vertical="center"/>
    </xf>
    <xf numFmtId="0" fontId="2" fillId="0" borderId="4" xfId="0" applyFont="1" applyBorder="1" applyAlignment="1">
      <alignment horizontal="center"/>
    </xf>
    <xf numFmtId="0" fontId="2" fillId="0" borderId="5" xfId="0" applyFont="1" applyBorder="1" applyAlignment="1">
      <alignment horizontal="center"/>
    </xf>
  </cellXfs>
  <cellStyles count="1">
    <cellStyle name="Normal" xfId="0" builtinId="0"/>
  </cellStyles>
  <dxfs count="0"/>
  <tableStyles count="1" defaultTableStyle="TableStyleMedium2" defaultPivotStyle="PivotStyleLight16">
    <tableStyle name="Slicer Style 1" pivot="0" table="0" count="0" xr9:uid="{7DA980DA-CA84-4FBE-950D-A052BEB78CED}"/>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microsoft.com/office/2017/10/relationships/person" Target="persons/perso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[Paytm dataset.xlsx]Sheet1!PivotTable3</c:name>
    <c:fmtId val="2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City</a:t>
            </a:r>
            <a:r>
              <a:rPr lang="en-US" b="1" baseline="0"/>
              <a:t> wise sales </a:t>
            </a:r>
          </a:p>
          <a:p>
            <a:pPr>
              <a:defRPr/>
            </a:pPr>
            <a:endParaRPr lang="en-US"/>
          </a:p>
        </c:rich>
      </c:tx>
      <c:layout>
        <c:manualLayout>
          <c:xMode val="edge"/>
          <c:yMode val="edge"/>
          <c:x val="0.30557823129251699"/>
          <c:y val="7.01041402082804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502443410043357"/>
          <c:y val="0.29661532104405314"/>
          <c:w val="0.68325662330882675"/>
          <c:h val="0.3033024953513464"/>
        </c:manualLayout>
      </c:layout>
      <c:barChart>
        <c:barDir val="col"/>
        <c:grouping val="clustered"/>
        <c:varyColors val="0"/>
        <c:ser>
          <c:idx val="0"/>
          <c:order val="0"/>
          <c:tx>
            <c:strRef>
              <c:f>Sheet1!$B$12</c:f>
              <c:strCache>
                <c:ptCount val="1"/>
                <c:pt idx="0">
                  <c:v>Total</c:v>
                </c:pt>
              </c:strCache>
            </c:strRef>
          </c:tx>
          <c:spPr>
            <a:solidFill>
              <a:schemeClr val="accent1"/>
            </a:solidFill>
            <a:ln>
              <a:noFill/>
            </a:ln>
            <a:effectLst/>
          </c:spPr>
          <c:invertIfNegative val="0"/>
          <c:cat>
            <c:strRef>
              <c:f>Sheet1!$A$13:$A$20</c:f>
              <c:strCache>
                <c:ptCount val="7"/>
                <c:pt idx="0">
                  <c:v>Delhi</c:v>
                </c:pt>
                <c:pt idx="1">
                  <c:v>Gurgaon</c:v>
                </c:pt>
                <c:pt idx="2">
                  <c:v>Indore</c:v>
                </c:pt>
                <c:pt idx="3">
                  <c:v>Jaipur</c:v>
                </c:pt>
                <c:pt idx="4">
                  <c:v>Lucknow</c:v>
                </c:pt>
                <c:pt idx="5">
                  <c:v>Mumbai</c:v>
                </c:pt>
                <c:pt idx="6">
                  <c:v>Pune</c:v>
                </c:pt>
              </c:strCache>
            </c:strRef>
          </c:cat>
          <c:val>
            <c:numRef>
              <c:f>Sheet1!$B$13:$B$20</c:f>
              <c:numCache>
                <c:formatCode>General</c:formatCode>
                <c:ptCount val="7"/>
                <c:pt idx="0">
                  <c:v>4509</c:v>
                </c:pt>
                <c:pt idx="1">
                  <c:v>1720</c:v>
                </c:pt>
                <c:pt idx="2">
                  <c:v>1890</c:v>
                </c:pt>
                <c:pt idx="3">
                  <c:v>1500</c:v>
                </c:pt>
                <c:pt idx="4">
                  <c:v>2539</c:v>
                </c:pt>
                <c:pt idx="5">
                  <c:v>2209</c:v>
                </c:pt>
                <c:pt idx="6">
                  <c:v>3628</c:v>
                </c:pt>
              </c:numCache>
            </c:numRef>
          </c:val>
          <c:extLst>
            <c:ext xmlns:c16="http://schemas.microsoft.com/office/drawing/2014/chart" uri="{C3380CC4-5D6E-409C-BE32-E72D297353CC}">
              <c16:uniqueId val="{00000000-4780-4676-A5AA-E8FCB5B76B05}"/>
            </c:ext>
          </c:extLst>
        </c:ser>
        <c:dLbls>
          <c:showLegendKey val="0"/>
          <c:showVal val="0"/>
          <c:showCatName val="0"/>
          <c:showSerName val="0"/>
          <c:showPercent val="0"/>
          <c:showBubbleSize val="0"/>
        </c:dLbls>
        <c:gapWidth val="219"/>
        <c:overlap val="-27"/>
        <c:axId val="1795869199"/>
        <c:axId val="1798249631"/>
      </c:barChart>
      <c:catAx>
        <c:axId val="17958691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8249631"/>
        <c:crosses val="autoZero"/>
        <c:auto val="1"/>
        <c:lblAlgn val="ctr"/>
        <c:lblOffset val="100"/>
        <c:noMultiLvlLbl val="0"/>
      </c:catAx>
      <c:valAx>
        <c:axId val="17982496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58691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[Paytm dataset.xlsx]Sheet1!PivotTable4</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Device</a:t>
            </a:r>
            <a:r>
              <a:rPr lang="en-IN" b="1" baseline="0"/>
              <a:t> wise sales</a:t>
            </a:r>
          </a:p>
          <a:p>
            <a:pPr>
              <a:defRPr/>
            </a:pPr>
            <a:endParaRPr lang="en-IN"/>
          </a:p>
        </c:rich>
      </c:tx>
      <c:layout>
        <c:manualLayout>
          <c:xMode val="edge"/>
          <c:yMode val="edge"/>
          <c:x val="0.26866004494536222"/>
          <c:y val="0.15446473446138381"/>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Sheet1!$B$24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Sheet1!$A$25:$A$27</c:f>
              <c:strCache>
                <c:ptCount val="2"/>
                <c:pt idx="0">
                  <c:v>Android</c:v>
                </c:pt>
                <c:pt idx="1">
                  <c:v>iPhone</c:v>
                </c:pt>
              </c:strCache>
            </c:strRef>
          </c:cat>
          <c:val>
            <c:numRef>
              <c:f>Sheet1!$B$25:$B$27</c:f>
              <c:numCache>
                <c:formatCode>General</c:formatCode>
                <c:ptCount val="2"/>
                <c:pt idx="0">
                  <c:v>14416</c:v>
                </c:pt>
                <c:pt idx="1">
                  <c:v>3579</c:v>
                </c:pt>
              </c:numCache>
            </c:numRef>
          </c:val>
          <c:extLst>
            <c:ext xmlns:c16="http://schemas.microsoft.com/office/drawing/2014/chart" uri="{C3380CC4-5D6E-409C-BE32-E72D297353CC}">
              <c16:uniqueId val="{00000000-ADCB-45DC-986A-9AFA90A7A117}"/>
            </c:ext>
          </c:extLst>
        </c:ser>
        <c:dLbls>
          <c:dLblPos val="outEnd"/>
          <c:showLegendKey val="0"/>
          <c:showVal val="1"/>
          <c:showCatName val="0"/>
          <c:showSerName val="0"/>
          <c:showPercent val="0"/>
          <c:showBubbleSize val="0"/>
        </c:dLbls>
        <c:gapWidth val="219"/>
        <c:overlap val="-27"/>
        <c:axId val="1731355647"/>
        <c:axId val="1731356127"/>
      </c:barChart>
      <c:catAx>
        <c:axId val="17313556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1356127"/>
        <c:crosses val="autoZero"/>
        <c:auto val="1"/>
        <c:lblAlgn val="ctr"/>
        <c:lblOffset val="100"/>
        <c:noMultiLvlLbl val="0"/>
      </c:catAx>
      <c:valAx>
        <c:axId val="17313561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13556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[Paytm dataset.xlsx]Sheet1!PivotTable5</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Sheet1!$B$30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721-47D9-AAFA-D84D1488B64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721-47D9-AAFA-D84D1488B64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Sheet1!$A$31:$A$33</c:f>
              <c:strCache>
                <c:ptCount val="2"/>
                <c:pt idx="0">
                  <c:v>Failed</c:v>
                </c:pt>
                <c:pt idx="1">
                  <c:v>Success</c:v>
                </c:pt>
              </c:strCache>
            </c:strRef>
          </c:cat>
          <c:val>
            <c:numRef>
              <c:f>Sheet1!$B$31:$B$33</c:f>
              <c:numCache>
                <c:formatCode>General</c:formatCode>
                <c:ptCount val="2"/>
                <c:pt idx="0">
                  <c:v>7977</c:v>
                </c:pt>
                <c:pt idx="1">
                  <c:v>10018</c:v>
                </c:pt>
              </c:numCache>
            </c:numRef>
          </c:val>
          <c:extLst>
            <c:ext xmlns:c16="http://schemas.microsoft.com/office/drawing/2014/chart" uri="{C3380CC4-5D6E-409C-BE32-E72D297353CC}">
              <c16:uniqueId val="{00000000-93DB-48C6-B17F-52B348F5BF07}"/>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[Paytm dataset.xlsx]Sheet1!PivotTable8</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Sheet1!$L$36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8C9-4118-882B-5BDF944A42A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8C9-4118-882B-5BDF944A42A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8C9-4118-882B-5BDF944A42A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8C9-4118-882B-5BDF944A42A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F8C9-4118-882B-5BDF944A42A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Sheet1!$K$37:$K$42</c:f>
              <c:strCache>
                <c:ptCount val="5"/>
                <c:pt idx="0">
                  <c:v>Axis</c:v>
                </c:pt>
                <c:pt idx="1">
                  <c:v>HDFC</c:v>
                </c:pt>
                <c:pt idx="2">
                  <c:v>ICICI</c:v>
                </c:pt>
                <c:pt idx="3">
                  <c:v>PNB</c:v>
                </c:pt>
                <c:pt idx="4">
                  <c:v>SBI</c:v>
                </c:pt>
              </c:strCache>
            </c:strRef>
          </c:cat>
          <c:val>
            <c:numRef>
              <c:f>Sheet1!$L$37:$L$42</c:f>
              <c:numCache>
                <c:formatCode>General</c:formatCode>
                <c:ptCount val="5"/>
                <c:pt idx="0">
                  <c:v>2750</c:v>
                </c:pt>
                <c:pt idx="1">
                  <c:v>5319</c:v>
                </c:pt>
                <c:pt idx="2">
                  <c:v>4209</c:v>
                </c:pt>
                <c:pt idx="3">
                  <c:v>2049</c:v>
                </c:pt>
                <c:pt idx="4">
                  <c:v>3668</c:v>
                </c:pt>
              </c:numCache>
            </c:numRef>
          </c:val>
          <c:extLst>
            <c:ext xmlns:c16="http://schemas.microsoft.com/office/drawing/2014/chart" uri="{C3380CC4-5D6E-409C-BE32-E72D297353CC}">
              <c16:uniqueId val="{00000000-68B6-4C06-8282-B326F886D768}"/>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[Paytm dataset.xlsx]Sheet1!PivotTable3</c:name>
    <c:fmtId val="3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City</a:t>
            </a:r>
            <a:r>
              <a:rPr lang="en-US" b="1" baseline="0"/>
              <a:t> wise sales </a:t>
            </a:r>
          </a:p>
          <a:p>
            <a:pPr>
              <a:defRPr/>
            </a:pPr>
            <a:endParaRPr lang="en-US"/>
          </a:p>
        </c:rich>
      </c:tx>
      <c:layout>
        <c:manualLayout>
          <c:xMode val="edge"/>
          <c:yMode val="edge"/>
          <c:x val="0.30557823129251699"/>
          <c:y val="7.01041402082804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502443410043357"/>
          <c:y val="0.29661532104405314"/>
          <c:w val="0.68325662330882675"/>
          <c:h val="0.3033024953513464"/>
        </c:manualLayout>
      </c:layout>
      <c:barChart>
        <c:barDir val="col"/>
        <c:grouping val="clustered"/>
        <c:varyColors val="0"/>
        <c:ser>
          <c:idx val="0"/>
          <c:order val="0"/>
          <c:tx>
            <c:strRef>
              <c:f>Sheet1!$B$12</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Sheet1!$A$13:$A$20</c:f>
              <c:strCache>
                <c:ptCount val="7"/>
                <c:pt idx="0">
                  <c:v>Delhi</c:v>
                </c:pt>
                <c:pt idx="1">
                  <c:v>Gurgaon</c:v>
                </c:pt>
                <c:pt idx="2">
                  <c:v>Indore</c:v>
                </c:pt>
                <c:pt idx="3">
                  <c:v>Jaipur</c:v>
                </c:pt>
                <c:pt idx="4">
                  <c:v>Lucknow</c:v>
                </c:pt>
                <c:pt idx="5">
                  <c:v>Mumbai</c:v>
                </c:pt>
                <c:pt idx="6">
                  <c:v>Pune</c:v>
                </c:pt>
              </c:strCache>
            </c:strRef>
          </c:cat>
          <c:val>
            <c:numRef>
              <c:f>Sheet1!$B$13:$B$20</c:f>
              <c:numCache>
                <c:formatCode>General</c:formatCode>
                <c:ptCount val="7"/>
                <c:pt idx="0">
                  <c:v>4509</c:v>
                </c:pt>
                <c:pt idx="1">
                  <c:v>1720</c:v>
                </c:pt>
                <c:pt idx="2">
                  <c:v>1890</c:v>
                </c:pt>
                <c:pt idx="3">
                  <c:v>1500</c:v>
                </c:pt>
                <c:pt idx="4">
                  <c:v>2539</c:v>
                </c:pt>
                <c:pt idx="5">
                  <c:v>2209</c:v>
                </c:pt>
                <c:pt idx="6">
                  <c:v>3628</c:v>
                </c:pt>
              </c:numCache>
            </c:numRef>
          </c:val>
          <c:extLst>
            <c:ext xmlns:c16="http://schemas.microsoft.com/office/drawing/2014/chart" uri="{C3380CC4-5D6E-409C-BE32-E72D297353CC}">
              <c16:uniqueId val="{00000000-87A2-412E-8C1E-EFF8779D9B4F}"/>
            </c:ext>
          </c:extLst>
        </c:ser>
        <c:dLbls>
          <c:dLblPos val="outEnd"/>
          <c:showLegendKey val="0"/>
          <c:showVal val="1"/>
          <c:showCatName val="0"/>
          <c:showSerName val="0"/>
          <c:showPercent val="0"/>
          <c:showBubbleSize val="0"/>
        </c:dLbls>
        <c:gapWidth val="219"/>
        <c:overlap val="-27"/>
        <c:axId val="1795869199"/>
        <c:axId val="1798249631"/>
      </c:barChart>
      <c:catAx>
        <c:axId val="17958691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8249631"/>
        <c:crosses val="autoZero"/>
        <c:auto val="1"/>
        <c:lblAlgn val="ctr"/>
        <c:lblOffset val="100"/>
        <c:noMultiLvlLbl val="0"/>
      </c:catAx>
      <c:valAx>
        <c:axId val="17982496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58691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[Paytm dataset.xlsx]Sheet1!PivotTable4</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Device</a:t>
            </a:r>
            <a:r>
              <a:rPr lang="en-IN" b="1" baseline="0"/>
              <a:t> wise sales</a:t>
            </a:r>
          </a:p>
          <a:p>
            <a:pPr>
              <a:defRPr/>
            </a:pPr>
            <a:endParaRPr lang="en-IN"/>
          </a:p>
        </c:rich>
      </c:tx>
      <c:layout>
        <c:manualLayout>
          <c:xMode val="edge"/>
          <c:yMode val="edge"/>
          <c:x val="0.26866004494536222"/>
          <c:y val="0.15446473446138381"/>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Sheet1!$B$24</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Sheet1!$A$25:$A$27</c:f>
              <c:strCache>
                <c:ptCount val="2"/>
                <c:pt idx="0">
                  <c:v>Android</c:v>
                </c:pt>
                <c:pt idx="1">
                  <c:v>iPhone</c:v>
                </c:pt>
              </c:strCache>
            </c:strRef>
          </c:cat>
          <c:val>
            <c:numRef>
              <c:f>Sheet1!$B$25:$B$27</c:f>
              <c:numCache>
                <c:formatCode>General</c:formatCode>
                <c:ptCount val="2"/>
                <c:pt idx="0">
                  <c:v>14416</c:v>
                </c:pt>
                <c:pt idx="1">
                  <c:v>3579</c:v>
                </c:pt>
              </c:numCache>
            </c:numRef>
          </c:val>
          <c:extLst>
            <c:ext xmlns:c16="http://schemas.microsoft.com/office/drawing/2014/chart" uri="{C3380CC4-5D6E-409C-BE32-E72D297353CC}">
              <c16:uniqueId val="{00000000-E3E5-4410-BFB2-183F94684BA3}"/>
            </c:ext>
          </c:extLst>
        </c:ser>
        <c:dLbls>
          <c:dLblPos val="outEnd"/>
          <c:showLegendKey val="0"/>
          <c:showVal val="1"/>
          <c:showCatName val="0"/>
          <c:showSerName val="0"/>
          <c:showPercent val="0"/>
          <c:showBubbleSize val="0"/>
        </c:dLbls>
        <c:gapWidth val="219"/>
        <c:overlap val="-27"/>
        <c:axId val="1731355647"/>
        <c:axId val="1731356127"/>
      </c:barChart>
      <c:catAx>
        <c:axId val="17313556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1356127"/>
        <c:crosses val="autoZero"/>
        <c:auto val="1"/>
        <c:lblAlgn val="ctr"/>
        <c:lblOffset val="100"/>
        <c:noMultiLvlLbl val="0"/>
      </c:catAx>
      <c:valAx>
        <c:axId val="17313561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13556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[Paytm dataset.xlsx]Sheet1!PivotTable8</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Bank</a:t>
            </a:r>
            <a:r>
              <a:rPr lang="en-IN" b="1" baseline="0"/>
              <a:t> wise sales </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pieChart>
        <c:varyColors val="1"/>
        <c:ser>
          <c:idx val="0"/>
          <c:order val="0"/>
          <c:tx>
            <c:strRef>
              <c:f>Sheet1!$L$36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B66-4EF2-A58B-08AD3F9A37B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B66-4EF2-A58B-08AD3F9A37B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B66-4EF2-A58B-08AD3F9A37B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B66-4EF2-A58B-08AD3F9A37B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CB66-4EF2-A58B-08AD3F9A37B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Sheet1!$K$37:$K$42</c:f>
              <c:strCache>
                <c:ptCount val="5"/>
                <c:pt idx="0">
                  <c:v>Axis</c:v>
                </c:pt>
                <c:pt idx="1">
                  <c:v>HDFC</c:v>
                </c:pt>
                <c:pt idx="2">
                  <c:v>ICICI</c:v>
                </c:pt>
                <c:pt idx="3">
                  <c:v>PNB</c:v>
                </c:pt>
                <c:pt idx="4">
                  <c:v>SBI</c:v>
                </c:pt>
              </c:strCache>
            </c:strRef>
          </c:cat>
          <c:val>
            <c:numRef>
              <c:f>Sheet1!$L$37:$L$42</c:f>
              <c:numCache>
                <c:formatCode>General</c:formatCode>
                <c:ptCount val="5"/>
                <c:pt idx="0">
                  <c:v>2750</c:v>
                </c:pt>
                <c:pt idx="1">
                  <c:v>5319</c:v>
                </c:pt>
                <c:pt idx="2">
                  <c:v>4209</c:v>
                </c:pt>
                <c:pt idx="3">
                  <c:v>2049</c:v>
                </c:pt>
                <c:pt idx="4">
                  <c:v>3668</c:v>
                </c:pt>
              </c:numCache>
            </c:numRef>
          </c:val>
          <c:extLst>
            <c:ext xmlns:c16="http://schemas.microsoft.com/office/drawing/2014/chart" uri="{C3380CC4-5D6E-409C-BE32-E72D297353CC}">
              <c16:uniqueId val="{0000000A-CB66-4EF2-A58B-08AD3F9A37BD}"/>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Reversed" id="22">
  <a:schemeClr val="accent2"/>
</cs:colorStyle>
</file>

<file path=xl/charts/colors6.xml><?xml version="1.0" encoding="utf-8"?>
<cs:colorStyle xmlns:cs="http://schemas.microsoft.com/office/drawing/2012/chartStyle" xmlns:a="http://schemas.openxmlformats.org/drawingml/2006/main" meth="withinLinearReversed" id="22">
  <a:schemeClr val="accent2"/>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2</xdr:col>
      <xdr:colOff>234950</xdr:colOff>
      <xdr:row>10</xdr:row>
      <xdr:rowOff>165100</xdr:rowOff>
    </xdr:from>
    <xdr:to>
      <xdr:col>6</xdr:col>
      <xdr:colOff>596900</xdr:colOff>
      <xdr:row>20</xdr:row>
      <xdr:rowOff>95250</xdr:rowOff>
    </xdr:to>
    <xdr:graphicFrame macro="">
      <xdr:nvGraphicFramePr>
        <xdr:cNvPr id="2" name="Chart 1">
          <a:extLst>
            <a:ext uri="{FF2B5EF4-FFF2-40B4-BE49-F238E27FC236}">
              <a16:creationId xmlns:a16="http://schemas.microsoft.com/office/drawing/2014/main" id="{6A8569A7-A395-987D-8A99-F0AE831F27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177800</xdr:colOff>
      <xdr:row>21</xdr:row>
      <xdr:rowOff>31750</xdr:rowOff>
    </xdr:from>
    <xdr:to>
      <xdr:col>8</xdr:col>
      <xdr:colOff>382296</xdr:colOff>
      <xdr:row>31</xdr:row>
      <xdr:rowOff>161990</xdr:rowOff>
    </xdr:to>
    <xdr:graphicFrame macro="">
      <xdr:nvGraphicFramePr>
        <xdr:cNvPr id="4" name="Chart 3">
          <a:extLst>
            <a:ext uri="{FF2B5EF4-FFF2-40B4-BE49-F238E27FC236}">
              <a16:creationId xmlns:a16="http://schemas.microsoft.com/office/drawing/2014/main" id="{BE042635-AFC6-7900-BA16-306AC4C156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146050</xdr:colOff>
      <xdr:row>31</xdr:row>
      <xdr:rowOff>76200</xdr:rowOff>
    </xdr:from>
    <xdr:to>
      <xdr:col>7</xdr:col>
      <xdr:colOff>278623</xdr:colOff>
      <xdr:row>44</xdr:row>
      <xdr:rowOff>103673</xdr:rowOff>
    </xdr:to>
    <xdr:graphicFrame macro="">
      <xdr:nvGraphicFramePr>
        <xdr:cNvPr id="5" name="Chart 4">
          <a:extLst>
            <a:ext uri="{FF2B5EF4-FFF2-40B4-BE49-F238E27FC236}">
              <a16:creationId xmlns:a16="http://schemas.microsoft.com/office/drawing/2014/main" id="{0DCD543B-A616-B127-3B6B-F35716151F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12</xdr:col>
      <xdr:colOff>167303</xdr:colOff>
      <xdr:row>18</xdr:row>
      <xdr:rowOff>64019</xdr:rowOff>
    </xdr:from>
    <xdr:to>
      <xdr:col>15</xdr:col>
      <xdr:colOff>167303</xdr:colOff>
      <xdr:row>30</xdr:row>
      <xdr:rowOff>155511</xdr:rowOff>
    </xdr:to>
    <mc:AlternateContent xmlns:mc="http://schemas.openxmlformats.org/markup-compatibility/2006" xmlns:a14="http://schemas.microsoft.com/office/drawing/2010/main">
      <mc:Choice Requires="a14">
        <xdr:graphicFrame macro="">
          <xdr:nvGraphicFramePr>
            <xdr:cNvPr id="6" name="City">
              <a:extLst>
                <a:ext uri="{FF2B5EF4-FFF2-40B4-BE49-F238E27FC236}">
                  <a16:creationId xmlns:a16="http://schemas.microsoft.com/office/drawing/2014/main" id="{68FA5979-04C0-7BB3-9CAA-5FC7FF4F98F5}"/>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8487099" y="3381570"/>
              <a:ext cx="1827245" cy="22686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261256</xdr:colOff>
      <xdr:row>18</xdr:row>
      <xdr:rowOff>55468</xdr:rowOff>
    </xdr:from>
    <xdr:to>
      <xdr:col>18</xdr:col>
      <xdr:colOff>261256</xdr:colOff>
      <xdr:row>27</xdr:row>
      <xdr:rowOff>90717</xdr:rowOff>
    </xdr:to>
    <mc:AlternateContent xmlns:mc="http://schemas.openxmlformats.org/markup-compatibility/2006" xmlns:a14="http://schemas.microsoft.com/office/drawing/2010/main">
      <mc:Choice Requires="a14">
        <xdr:graphicFrame macro="">
          <xdr:nvGraphicFramePr>
            <xdr:cNvPr id="7" name="Bank">
              <a:extLst>
                <a:ext uri="{FF2B5EF4-FFF2-40B4-BE49-F238E27FC236}">
                  <a16:creationId xmlns:a16="http://schemas.microsoft.com/office/drawing/2014/main" id="{90B126BD-22DB-416A-A9BD-EFD5C694C619}"/>
                </a:ext>
              </a:extLst>
            </xdr:cNvPr>
            <xdr:cNvGraphicFramePr/>
          </xdr:nvGraphicFramePr>
          <xdr:xfrm>
            <a:off x="0" y="0"/>
            <a:ext cx="0" cy="0"/>
          </xdr:xfrm>
          <a:graphic>
            <a:graphicData uri="http://schemas.microsoft.com/office/drawing/2010/slicer">
              <sle:slicer xmlns:sle="http://schemas.microsoft.com/office/drawing/2010/slicer" name="Bank"/>
            </a:graphicData>
          </a:graphic>
        </xdr:graphicFrame>
      </mc:Choice>
      <mc:Fallback xmlns="">
        <xdr:sp macro="" textlink="">
          <xdr:nvSpPr>
            <xdr:cNvPr id="0" name=""/>
            <xdr:cNvSpPr>
              <a:spLocks noTextEdit="1"/>
            </xdr:cNvSpPr>
          </xdr:nvSpPr>
          <xdr:spPr>
            <a:xfrm>
              <a:off x="10408297" y="3373019"/>
              <a:ext cx="1827245" cy="16681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398752</xdr:colOff>
      <xdr:row>18</xdr:row>
      <xdr:rowOff>69719</xdr:rowOff>
    </xdr:from>
    <xdr:to>
      <xdr:col>21</xdr:col>
      <xdr:colOff>398752</xdr:colOff>
      <xdr:row>32</xdr:row>
      <xdr:rowOff>15744</xdr:rowOff>
    </xdr:to>
    <mc:AlternateContent xmlns:mc="http://schemas.openxmlformats.org/markup-compatibility/2006" xmlns:a14="http://schemas.microsoft.com/office/drawing/2010/main">
      <mc:Choice Requires="a14">
        <xdr:graphicFrame macro="">
          <xdr:nvGraphicFramePr>
            <xdr:cNvPr id="8" name="Hour_of_Day">
              <a:extLst>
                <a:ext uri="{FF2B5EF4-FFF2-40B4-BE49-F238E27FC236}">
                  <a16:creationId xmlns:a16="http://schemas.microsoft.com/office/drawing/2014/main" id="{BEFF09ED-76CF-2473-A939-1E34AFA7C56C}"/>
                </a:ext>
              </a:extLst>
            </xdr:cNvPr>
            <xdr:cNvGraphicFramePr/>
          </xdr:nvGraphicFramePr>
          <xdr:xfrm>
            <a:off x="0" y="0"/>
            <a:ext cx="0" cy="0"/>
          </xdr:xfrm>
          <a:graphic>
            <a:graphicData uri="http://schemas.microsoft.com/office/drawing/2010/slicer">
              <sle:slicer xmlns:sle="http://schemas.microsoft.com/office/drawing/2010/slicer" name="Hour_of_Day"/>
            </a:graphicData>
          </a:graphic>
        </xdr:graphicFrame>
      </mc:Choice>
      <mc:Fallback xmlns="">
        <xdr:sp macro="" textlink="">
          <xdr:nvSpPr>
            <xdr:cNvPr id="0" name=""/>
            <xdr:cNvSpPr>
              <a:spLocks noTextEdit="1"/>
            </xdr:cNvSpPr>
          </xdr:nvSpPr>
          <xdr:spPr>
            <a:xfrm>
              <a:off x="12373038" y="3387270"/>
              <a:ext cx="1827245" cy="24860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154084</xdr:colOff>
      <xdr:row>18</xdr:row>
      <xdr:rowOff>51449</xdr:rowOff>
    </xdr:from>
    <xdr:to>
      <xdr:col>12</xdr:col>
      <xdr:colOff>102247</xdr:colOff>
      <xdr:row>24</xdr:row>
      <xdr:rowOff>110155</xdr:rowOff>
    </xdr:to>
    <mc:AlternateContent xmlns:mc="http://schemas.openxmlformats.org/markup-compatibility/2006" xmlns:a14="http://schemas.microsoft.com/office/drawing/2010/main">
      <mc:Choice Requires="a14">
        <xdr:graphicFrame macro="">
          <xdr:nvGraphicFramePr>
            <xdr:cNvPr id="9" name="Status">
              <a:extLst>
                <a:ext uri="{FF2B5EF4-FFF2-40B4-BE49-F238E27FC236}">
                  <a16:creationId xmlns:a16="http://schemas.microsoft.com/office/drawing/2014/main" id="{A0A48CFE-AC54-FFA8-4E4C-BC0215166CE3}"/>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6594798" y="3369000"/>
              <a:ext cx="1827245" cy="114727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330459</xdr:colOff>
      <xdr:row>54</xdr:row>
      <xdr:rowOff>6479</xdr:rowOff>
    </xdr:from>
    <xdr:to>
      <xdr:col>9</xdr:col>
      <xdr:colOff>401735</xdr:colOff>
      <xdr:row>57</xdr:row>
      <xdr:rowOff>77755</xdr:rowOff>
    </xdr:to>
    <xdr:sp macro="" textlink="">
      <xdr:nvSpPr>
        <xdr:cNvPr id="11" name="TextBox 10">
          <a:extLst>
            <a:ext uri="{FF2B5EF4-FFF2-40B4-BE49-F238E27FC236}">
              <a16:creationId xmlns:a16="http://schemas.microsoft.com/office/drawing/2014/main" id="{4B86761D-187A-4AF4-9B78-6EEBB45B29E7}"/>
            </a:ext>
          </a:extLst>
        </xdr:cNvPr>
        <xdr:cNvSpPr txBox="1"/>
      </xdr:nvSpPr>
      <xdr:spPr>
        <a:xfrm>
          <a:off x="5527092" y="9803622"/>
          <a:ext cx="1289439" cy="61556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t>Total</a:t>
          </a:r>
          <a:r>
            <a:rPr lang="en-IN" sz="1400" b="1" baseline="0"/>
            <a:t> - Sales</a:t>
          </a:r>
        </a:p>
        <a:p>
          <a:pPr algn="ctr"/>
          <a:r>
            <a:rPr lang="en-IN" sz="1100" b="1" i="0" u="none" strike="noStrike">
              <a:solidFill>
                <a:schemeClr val="dk1"/>
              </a:solidFill>
              <a:effectLst/>
              <a:latin typeface="+mn-lt"/>
              <a:ea typeface="+mn-ea"/>
              <a:cs typeface="+mn-cs"/>
            </a:rPr>
            <a:t>17995</a:t>
          </a:r>
          <a:r>
            <a:rPr lang="en-IN" sz="1400" b="1">
              <a:effectLst/>
            </a:rPr>
            <a:t> </a:t>
          </a:r>
          <a:r>
            <a:rPr lang="en-IN" sz="1400" b="1" baseline="0"/>
            <a:t> </a:t>
          </a:r>
          <a:endParaRPr lang="en-IN" sz="1400" b="1"/>
        </a:p>
      </xdr:txBody>
    </xdr:sp>
    <xdr:clientData/>
  </xdr:twoCellAnchor>
  <xdr:twoCellAnchor>
    <xdr:from>
      <xdr:col>11</xdr:col>
      <xdr:colOff>712756</xdr:colOff>
      <xdr:row>1</xdr:row>
      <xdr:rowOff>32398</xdr:rowOff>
    </xdr:from>
    <xdr:to>
      <xdr:col>14</xdr:col>
      <xdr:colOff>45359</xdr:colOff>
      <xdr:row>5</xdr:row>
      <xdr:rowOff>149030</xdr:rowOff>
    </xdr:to>
    <xdr:sp macro="" textlink="">
      <xdr:nvSpPr>
        <xdr:cNvPr id="12" name="Rectangle 11">
          <a:extLst>
            <a:ext uri="{FF2B5EF4-FFF2-40B4-BE49-F238E27FC236}">
              <a16:creationId xmlns:a16="http://schemas.microsoft.com/office/drawing/2014/main" id="{08B2E936-C8AD-BDE0-AECA-C2A07A7388FC}"/>
            </a:ext>
          </a:extLst>
        </xdr:cNvPr>
        <xdr:cNvSpPr/>
      </xdr:nvSpPr>
      <xdr:spPr>
        <a:xfrm>
          <a:off x="8034695" y="213827"/>
          <a:ext cx="1548623" cy="842346"/>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nchorCtr="1"/>
        <a:lstStyle/>
        <a:p>
          <a:pPr algn="l"/>
          <a:r>
            <a:rPr lang="en-IN" sz="2000"/>
            <a:t>Total</a:t>
          </a:r>
          <a:r>
            <a:rPr lang="en-IN" sz="2000" baseline="0"/>
            <a:t> - sales</a:t>
          </a:r>
        </a:p>
        <a:p>
          <a:pPr algn="l"/>
          <a:r>
            <a:rPr lang="en-IN" sz="1400" b="1" i="0" u="none" strike="noStrike">
              <a:solidFill>
                <a:schemeClr val="dk1"/>
              </a:solidFill>
              <a:effectLst/>
              <a:latin typeface="+mn-lt"/>
              <a:ea typeface="+mn-ea"/>
              <a:cs typeface="+mn-cs"/>
            </a:rPr>
            <a:t>          17995</a:t>
          </a:r>
          <a:endParaRPr lang="en-IN" sz="2800" b="1" baseline="0"/>
        </a:p>
        <a:p>
          <a:pPr algn="l"/>
          <a:endParaRPr lang="en-IN" sz="2000" baseline="0"/>
        </a:p>
        <a:p>
          <a:pPr algn="l"/>
          <a:endParaRPr lang="en-IN" sz="1100"/>
        </a:p>
      </xdr:txBody>
    </xdr:sp>
    <xdr:clientData/>
  </xdr:twoCellAnchor>
  <xdr:twoCellAnchor>
    <xdr:from>
      <xdr:col>11</xdr:col>
      <xdr:colOff>343418</xdr:colOff>
      <xdr:row>54</xdr:row>
      <xdr:rowOff>136071</xdr:rowOff>
    </xdr:from>
    <xdr:to>
      <xdr:col>14</xdr:col>
      <xdr:colOff>38877</xdr:colOff>
      <xdr:row>59</xdr:row>
      <xdr:rowOff>45357</xdr:rowOff>
    </xdr:to>
    <xdr:sp macro="" textlink="">
      <xdr:nvSpPr>
        <xdr:cNvPr id="14" name="Rectangle 13">
          <a:extLst>
            <a:ext uri="{FF2B5EF4-FFF2-40B4-BE49-F238E27FC236}">
              <a16:creationId xmlns:a16="http://schemas.microsoft.com/office/drawing/2014/main" id="{C731BF88-B176-41C7-C8C6-F832E8F3B8F1}"/>
            </a:ext>
          </a:extLst>
        </xdr:cNvPr>
        <xdr:cNvSpPr/>
      </xdr:nvSpPr>
      <xdr:spPr>
        <a:xfrm>
          <a:off x="7393214" y="9933214"/>
          <a:ext cx="1522704" cy="816429"/>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7</xdr:col>
      <xdr:colOff>129592</xdr:colOff>
      <xdr:row>4</xdr:row>
      <xdr:rowOff>51837</xdr:rowOff>
    </xdr:from>
    <xdr:to>
      <xdr:col>9</xdr:col>
      <xdr:colOff>330459</xdr:colOff>
      <xdr:row>9</xdr:row>
      <xdr:rowOff>51837</xdr:rowOff>
    </xdr:to>
    <xdr:sp macro="" textlink="">
      <xdr:nvSpPr>
        <xdr:cNvPr id="19" name="TextBox 18">
          <a:extLst>
            <a:ext uri="{FF2B5EF4-FFF2-40B4-BE49-F238E27FC236}">
              <a16:creationId xmlns:a16="http://schemas.microsoft.com/office/drawing/2014/main" id="{D47CB7C5-A8CD-9070-1305-ED56A3F78F6E}"/>
            </a:ext>
          </a:extLst>
        </xdr:cNvPr>
        <xdr:cNvSpPr txBox="1"/>
      </xdr:nvSpPr>
      <xdr:spPr>
        <a:xfrm>
          <a:off x="4743061" y="777551"/>
          <a:ext cx="1419031" cy="9071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a:t>Total</a:t>
          </a:r>
          <a:r>
            <a:rPr lang="en-IN" sz="1100" baseline="0"/>
            <a:t> - </a:t>
          </a:r>
          <a:r>
            <a:rPr lang="en-IN" sz="1100"/>
            <a:t>ales</a:t>
          </a:r>
        </a:p>
        <a:p>
          <a:pPr algn="ctr"/>
          <a:endParaRPr lang="en-IN" sz="1100"/>
        </a:p>
      </xdr:txBody>
    </xdr:sp>
    <xdr:clientData/>
  </xdr:twoCellAnchor>
  <xdr:twoCellAnchor>
    <xdr:from>
      <xdr:col>4</xdr:col>
      <xdr:colOff>500225</xdr:colOff>
      <xdr:row>45</xdr:row>
      <xdr:rowOff>34472</xdr:rowOff>
    </xdr:from>
    <xdr:to>
      <xdr:col>10</xdr:col>
      <xdr:colOff>207347</xdr:colOff>
      <xdr:row>58</xdr:row>
      <xdr:rowOff>58316</xdr:rowOff>
    </xdr:to>
    <xdr:graphicFrame macro="">
      <xdr:nvGraphicFramePr>
        <xdr:cNvPr id="10" name="Chart 9">
          <a:extLst>
            <a:ext uri="{FF2B5EF4-FFF2-40B4-BE49-F238E27FC236}">
              <a16:creationId xmlns:a16="http://schemas.microsoft.com/office/drawing/2014/main" id="{306D9154-40F8-05FF-40FF-2E60A7A420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38100</xdr:colOff>
      <xdr:row>0</xdr:row>
      <xdr:rowOff>25400</xdr:rowOff>
    </xdr:from>
    <xdr:to>
      <xdr:col>17</xdr:col>
      <xdr:colOff>520700</xdr:colOff>
      <xdr:row>2</xdr:row>
      <xdr:rowOff>50800</xdr:rowOff>
    </xdr:to>
    <xdr:sp macro="" textlink="">
      <xdr:nvSpPr>
        <xdr:cNvPr id="2" name="TextBox 1">
          <a:extLst>
            <a:ext uri="{FF2B5EF4-FFF2-40B4-BE49-F238E27FC236}">
              <a16:creationId xmlns:a16="http://schemas.microsoft.com/office/drawing/2014/main" id="{50A4BB64-8FC4-20FB-442C-7A99131C86D0}"/>
            </a:ext>
          </a:extLst>
        </xdr:cNvPr>
        <xdr:cNvSpPr txBox="1"/>
      </xdr:nvSpPr>
      <xdr:spPr>
        <a:xfrm>
          <a:off x="38100" y="25400"/>
          <a:ext cx="10845800" cy="3937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a:t>Paytm - UPI</a:t>
          </a:r>
          <a:r>
            <a:rPr lang="en-IN" sz="1100" baseline="0"/>
            <a:t> - Dashboard</a:t>
          </a:r>
          <a:endParaRPr lang="en-IN" sz="1100"/>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3</xdr:row>
      <xdr:rowOff>50800</xdr:rowOff>
    </xdr:from>
    <xdr:to>
      <xdr:col>2</xdr:col>
      <xdr:colOff>608045</xdr:colOff>
      <xdr:row>23</xdr:row>
      <xdr:rowOff>171450</xdr:rowOff>
    </xdr:to>
    <mc:AlternateContent xmlns:mc="http://schemas.openxmlformats.org/markup-compatibility/2006" xmlns:a14="http://schemas.microsoft.com/office/drawing/2010/main">
      <mc:Choice Requires="a14">
        <xdr:graphicFrame macro="">
          <xdr:nvGraphicFramePr>
            <xdr:cNvPr id="2" name="Hour_of_Day 1">
              <a:extLst>
                <a:ext uri="{FF2B5EF4-FFF2-40B4-BE49-F238E27FC236}">
                  <a16:creationId xmlns:a16="http://schemas.microsoft.com/office/drawing/2014/main" id="{A4C85D25-05DD-41A2-AFF8-A223CEDFCEB4}"/>
                </a:ext>
              </a:extLst>
            </xdr:cNvPr>
            <xdr:cNvGraphicFramePr/>
          </xdr:nvGraphicFramePr>
          <xdr:xfrm>
            <a:off x="0" y="0"/>
            <a:ext cx="0" cy="0"/>
          </xdr:xfrm>
          <a:graphic>
            <a:graphicData uri="http://schemas.microsoft.com/office/drawing/2010/slicer">
              <sle:slicer xmlns:sle="http://schemas.microsoft.com/office/drawing/2010/slicer" name="Hour_of_Day 1"/>
            </a:graphicData>
          </a:graphic>
        </xdr:graphicFrame>
      </mc:Choice>
      <mc:Fallback xmlns="">
        <xdr:sp macro="" textlink="">
          <xdr:nvSpPr>
            <xdr:cNvPr id="0" name=""/>
            <xdr:cNvSpPr>
              <a:spLocks noTextEdit="1"/>
            </xdr:cNvSpPr>
          </xdr:nvSpPr>
          <xdr:spPr>
            <a:xfrm>
              <a:off x="0" y="603250"/>
              <a:ext cx="1827245" cy="38163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31751</xdr:colOff>
      <xdr:row>3</xdr:row>
      <xdr:rowOff>50800</xdr:rowOff>
    </xdr:from>
    <xdr:to>
      <xdr:col>5</xdr:col>
      <xdr:colOff>241301</xdr:colOff>
      <xdr:row>9</xdr:row>
      <xdr:rowOff>101599</xdr:rowOff>
    </xdr:to>
    <mc:AlternateContent xmlns:mc="http://schemas.openxmlformats.org/markup-compatibility/2006" xmlns:a14="http://schemas.microsoft.com/office/drawing/2010/main">
      <mc:Choice Requires="a14">
        <xdr:graphicFrame macro="">
          <xdr:nvGraphicFramePr>
            <xdr:cNvPr id="3" name="Status 1">
              <a:extLst>
                <a:ext uri="{FF2B5EF4-FFF2-40B4-BE49-F238E27FC236}">
                  <a16:creationId xmlns:a16="http://schemas.microsoft.com/office/drawing/2014/main" id="{10F0A7EC-18AD-4863-B8A0-CB055F31CDF1}"/>
                </a:ext>
              </a:extLst>
            </xdr:cNvPr>
            <xdr:cNvGraphicFramePr/>
          </xdr:nvGraphicFramePr>
          <xdr:xfrm>
            <a:off x="0" y="0"/>
            <a:ext cx="0" cy="0"/>
          </xdr:xfrm>
          <a:graphic>
            <a:graphicData uri="http://schemas.microsoft.com/office/drawing/2010/slicer">
              <sle:slicer xmlns:sle="http://schemas.microsoft.com/office/drawing/2010/slicer" name="Status 1"/>
            </a:graphicData>
          </a:graphic>
        </xdr:graphicFrame>
      </mc:Choice>
      <mc:Fallback xmlns="">
        <xdr:sp macro="" textlink="">
          <xdr:nvSpPr>
            <xdr:cNvPr id="0" name=""/>
            <xdr:cNvSpPr>
              <a:spLocks noTextEdit="1"/>
            </xdr:cNvSpPr>
          </xdr:nvSpPr>
          <xdr:spPr>
            <a:xfrm>
              <a:off x="1860551" y="603250"/>
              <a:ext cx="1428750" cy="11683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330200</xdr:colOff>
      <xdr:row>3</xdr:row>
      <xdr:rowOff>63500</xdr:rowOff>
    </xdr:from>
    <xdr:to>
      <xdr:col>9</xdr:col>
      <xdr:colOff>241300</xdr:colOff>
      <xdr:row>9</xdr:row>
      <xdr:rowOff>114300</xdr:rowOff>
    </xdr:to>
    <mc:AlternateContent xmlns:mc="http://schemas.openxmlformats.org/markup-compatibility/2006" xmlns:a14="http://schemas.microsoft.com/office/drawing/2010/main">
      <mc:Choice Requires="a14">
        <xdr:graphicFrame macro="">
          <xdr:nvGraphicFramePr>
            <xdr:cNvPr id="4" name="Bank 1">
              <a:extLst>
                <a:ext uri="{FF2B5EF4-FFF2-40B4-BE49-F238E27FC236}">
                  <a16:creationId xmlns:a16="http://schemas.microsoft.com/office/drawing/2014/main" id="{E4282C88-5AA7-49CE-BE4B-939B86977942}"/>
                </a:ext>
              </a:extLst>
            </xdr:cNvPr>
            <xdr:cNvGraphicFramePr/>
          </xdr:nvGraphicFramePr>
          <xdr:xfrm>
            <a:off x="0" y="0"/>
            <a:ext cx="0" cy="0"/>
          </xdr:xfrm>
          <a:graphic>
            <a:graphicData uri="http://schemas.microsoft.com/office/drawing/2010/slicer">
              <sle:slicer xmlns:sle="http://schemas.microsoft.com/office/drawing/2010/slicer" name="Bank 1"/>
            </a:graphicData>
          </a:graphic>
        </xdr:graphicFrame>
      </mc:Choice>
      <mc:Fallback xmlns="">
        <xdr:sp macro="" textlink="">
          <xdr:nvSpPr>
            <xdr:cNvPr id="0" name=""/>
            <xdr:cNvSpPr>
              <a:spLocks noTextEdit="1"/>
            </xdr:cNvSpPr>
          </xdr:nvSpPr>
          <xdr:spPr>
            <a:xfrm>
              <a:off x="3378200" y="615950"/>
              <a:ext cx="2349500" cy="1168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260350</xdr:colOff>
      <xdr:row>3</xdr:row>
      <xdr:rowOff>57150</xdr:rowOff>
    </xdr:from>
    <xdr:to>
      <xdr:col>13</xdr:col>
      <xdr:colOff>361950</xdr:colOff>
      <xdr:row>9</xdr:row>
      <xdr:rowOff>101599</xdr:rowOff>
    </xdr:to>
    <mc:AlternateContent xmlns:mc="http://schemas.openxmlformats.org/markup-compatibility/2006" xmlns:a14="http://schemas.microsoft.com/office/drawing/2010/main">
      <mc:Choice Requires="a14">
        <xdr:graphicFrame macro="">
          <xdr:nvGraphicFramePr>
            <xdr:cNvPr id="5" name="City 1">
              <a:extLst>
                <a:ext uri="{FF2B5EF4-FFF2-40B4-BE49-F238E27FC236}">
                  <a16:creationId xmlns:a16="http://schemas.microsoft.com/office/drawing/2014/main" id="{FC67A4DA-1A4B-45C2-B949-D448BF7E1D20}"/>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5746750" y="615950"/>
              <a:ext cx="2540000" cy="11620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31750</xdr:colOff>
      <xdr:row>9</xdr:row>
      <xdr:rowOff>171450</xdr:rowOff>
    </xdr:from>
    <xdr:to>
      <xdr:col>8</xdr:col>
      <xdr:colOff>571499</xdr:colOff>
      <xdr:row>23</xdr:row>
      <xdr:rowOff>158750</xdr:rowOff>
    </xdr:to>
    <xdr:graphicFrame macro="">
      <xdr:nvGraphicFramePr>
        <xdr:cNvPr id="9" name="Chart 8">
          <a:extLst>
            <a:ext uri="{FF2B5EF4-FFF2-40B4-BE49-F238E27FC236}">
              <a16:creationId xmlns:a16="http://schemas.microsoft.com/office/drawing/2014/main" id="{FB981AB2-C45F-43C3-9A7E-46B86D3DD9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9</xdr:row>
      <xdr:rowOff>177800</xdr:rowOff>
    </xdr:from>
    <xdr:to>
      <xdr:col>13</xdr:col>
      <xdr:colOff>25400</xdr:colOff>
      <xdr:row>23</xdr:row>
      <xdr:rowOff>152400</xdr:rowOff>
    </xdr:to>
    <xdr:graphicFrame macro="">
      <xdr:nvGraphicFramePr>
        <xdr:cNvPr id="10" name="Chart 9">
          <a:extLst>
            <a:ext uri="{FF2B5EF4-FFF2-40B4-BE49-F238E27FC236}">
              <a16:creationId xmlns:a16="http://schemas.microsoft.com/office/drawing/2014/main" id="{49BAF08E-8D2D-44C6-AE91-0D0F05CE4A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63500</xdr:colOff>
      <xdr:row>9</xdr:row>
      <xdr:rowOff>127000</xdr:rowOff>
    </xdr:from>
    <xdr:to>
      <xdr:col>19</xdr:col>
      <xdr:colOff>31750</xdr:colOff>
      <xdr:row>23</xdr:row>
      <xdr:rowOff>127000</xdr:rowOff>
    </xdr:to>
    <xdr:graphicFrame macro="">
      <xdr:nvGraphicFramePr>
        <xdr:cNvPr id="12" name="Chart 11">
          <a:extLst>
            <a:ext uri="{FF2B5EF4-FFF2-40B4-BE49-F238E27FC236}">
              <a16:creationId xmlns:a16="http://schemas.microsoft.com/office/drawing/2014/main" id="{2FFF683F-346B-41CB-A6F9-A9210EB69C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an Barman" refreshedDate="46188.046205208331" createdVersion="8" refreshedVersion="8" minRefreshableVersion="3" recordCount="51" xr:uid="{F56D7C88-619D-4A62-9CFD-511B5AF6C72C}">
  <cacheSource type="worksheet">
    <worksheetSource ref="A1:H52" sheet="Sheet2"/>
  </cacheSource>
  <cacheFields count="8">
    <cacheField name="Txn_ID" numFmtId="0">
      <sharedItems/>
    </cacheField>
    <cacheField name="User_ID" numFmtId="0">
      <sharedItems/>
    </cacheField>
    <cacheField name="City" numFmtId="0">
      <sharedItems count="7">
        <s v="Delhi"/>
        <s v="Mumbai"/>
        <s v="Pune"/>
        <s v="Indore"/>
        <s v="Jaipur"/>
        <s v="Gurgaon"/>
        <s v="Lucknow"/>
      </sharedItems>
    </cacheField>
    <cacheField name="Bank" numFmtId="0">
      <sharedItems count="5">
        <s v="HDFC"/>
        <s v="SBI"/>
        <s v="ICICI"/>
        <s v="PNB"/>
        <s v="Axis"/>
      </sharedItems>
    </cacheField>
    <cacheField name="Device" numFmtId="0">
      <sharedItems count="2">
        <s v="Android"/>
        <s v="iPhone"/>
      </sharedItems>
    </cacheField>
    <cacheField name="Hour_of_Day" numFmtId="0">
      <sharedItems containsSemiMixedTypes="0" containsString="0" containsNumber="1" containsInteger="1" minValue="9" maxValue="23" count="15">
        <n v="9"/>
        <n v="10"/>
        <n v="20"/>
        <n v="21"/>
        <n v="19"/>
        <n v="18"/>
        <n v="17"/>
        <n v="11"/>
        <n v="22"/>
        <n v="23"/>
        <n v="12"/>
        <n v="13"/>
        <n v="14"/>
        <n v="15"/>
        <n v="16"/>
      </sharedItems>
    </cacheField>
    <cacheField name="Amount" numFmtId="0">
      <sharedItems containsSemiMixedTypes="0" containsString="0" containsNumber="1" containsInteger="1" minValue="120" maxValue="999"/>
    </cacheField>
    <cacheField name="Status" numFmtId="0">
      <sharedItems count="2">
        <s v="Success"/>
        <s v="Failed"/>
      </sharedItems>
    </cacheField>
  </cacheFields>
  <extLst>
    <ext xmlns:x14="http://schemas.microsoft.com/office/spreadsheetml/2009/9/main" uri="{725AE2AE-9491-48be-B2B4-4EB974FC3084}">
      <x14:pivotCacheDefinition pivotCacheId="107419597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1">
  <r>
    <s v="T001"/>
    <s v="U01"/>
    <x v="0"/>
    <x v="0"/>
    <x v="0"/>
    <x v="0"/>
    <n v="250"/>
    <x v="0"/>
  </r>
  <r>
    <s v="T002"/>
    <s v="U02"/>
    <x v="1"/>
    <x v="1"/>
    <x v="1"/>
    <x v="1"/>
    <n v="120"/>
    <x v="1"/>
  </r>
  <r>
    <s v="T003"/>
    <s v="U03"/>
    <x v="2"/>
    <x v="2"/>
    <x v="0"/>
    <x v="2"/>
    <n v="560"/>
    <x v="0"/>
  </r>
  <r>
    <s v="T004"/>
    <s v="U04"/>
    <x v="3"/>
    <x v="0"/>
    <x v="0"/>
    <x v="3"/>
    <n v="300"/>
    <x v="1"/>
  </r>
  <r>
    <s v="T005"/>
    <s v="U05"/>
    <x v="4"/>
    <x v="1"/>
    <x v="0"/>
    <x v="4"/>
    <n v="150"/>
    <x v="1"/>
  </r>
  <r>
    <s v="T006"/>
    <s v="U06"/>
    <x v="0"/>
    <x v="2"/>
    <x v="1"/>
    <x v="5"/>
    <n v="900"/>
    <x v="0"/>
  </r>
  <r>
    <s v="T007"/>
    <s v="U07"/>
    <x v="1"/>
    <x v="0"/>
    <x v="0"/>
    <x v="6"/>
    <n v="700"/>
    <x v="0"/>
  </r>
  <r>
    <s v="T008"/>
    <s v="U08"/>
    <x v="5"/>
    <x v="3"/>
    <x v="0"/>
    <x v="7"/>
    <n v="230"/>
    <x v="1"/>
  </r>
  <r>
    <s v="T018"/>
    <s v="U18"/>
    <x v="5"/>
    <x v="0"/>
    <x v="0"/>
    <x v="3"/>
    <n v="200"/>
    <x v="1"/>
  </r>
  <r>
    <s v="T019"/>
    <s v="U19"/>
    <x v="6"/>
    <x v="1"/>
    <x v="0"/>
    <x v="8"/>
    <n v="310"/>
    <x v="1"/>
  </r>
  <r>
    <s v="T020"/>
    <s v="U20"/>
    <x v="0"/>
    <x v="2"/>
    <x v="0"/>
    <x v="9"/>
    <n v="400"/>
    <x v="1"/>
  </r>
  <r>
    <s v="T021"/>
    <s v="U21"/>
    <x v="1"/>
    <x v="0"/>
    <x v="1"/>
    <x v="0"/>
    <n v="140"/>
    <x v="0"/>
  </r>
  <r>
    <s v="T022"/>
    <s v="U22"/>
    <x v="2"/>
    <x v="4"/>
    <x v="0"/>
    <x v="1"/>
    <n v="600"/>
    <x v="0"/>
  </r>
  <r>
    <s v="T023"/>
    <s v="U23"/>
    <x v="3"/>
    <x v="3"/>
    <x v="0"/>
    <x v="7"/>
    <n v="200"/>
    <x v="1"/>
  </r>
  <r>
    <s v="T024"/>
    <s v="U24"/>
    <x v="5"/>
    <x v="1"/>
    <x v="1"/>
    <x v="10"/>
    <n v="210"/>
    <x v="1"/>
  </r>
  <r>
    <s v="T025"/>
    <s v="U25"/>
    <x v="0"/>
    <x v="4"/>
    <x v="0"/>
    <x v="11"/>
    <n v="350"/>
    <x v="0"/>
  </r>
  <r>
    <s v="T026"/>
    <s v="U26"/>
    <x v="6"/>
    <x v="0"/>
    <x v="0"/>
    <x v="12"/>
    <n v="999"/>
    <x v="0"/>
  </r>
  <r>
    <s v="T027"/>
    <s v="U27"/>
    <x v="2"/>
    <x v="3"/>
    <x v="0"/>
    <x v="13"/>
    <n v="180"/>
    <x v="1"/>
  </r>
  <r>
    <s v="T028"/>
    <s v="U28"/>
    <x v="4"/>
    <x v="1"/>
    <x v="0"/>
    <x v="14"/>
    <n v="450"/>
    <x v="1"/>
  </r>
  <r>
    <s v="T029"/>
    <s v="U29"/>
    <x v="1"/>
    <x v="2"/>
    <x v="1"/>
    <x v="6"/>
    <n v="299"/>
    <x v="0"/>
  </r>
  <r>
    <s v="T030"/>
    <s v="U30"/>
    <x v="0"/>
    <x v="4"/>
    <x v="0"/>
    <x v="5"/>
    <n v="200"/>
    <x v="1"/>
  </r>
  <r>
    <s v="T031"/>
    <s v="U31"/>
    <x v="2"/>
    <x v="0"/>
    <x v="0"/>
    <x v="4"/>
    <n v="600"/>
    <x v="0"/>
  </r>
  <r>
    <s v="T032"/>
    <s v="U32"/>
    <x v="1"/>
    <x v="1"/>
    <x v="0"/>
    <x v="2"/>
    <n v="180"/>
    <x v="1"/>
  </r>
  <r>
    <s v="T033"/>
    <s v="U33"/>
    <x v="0"/>
    <x v="2"/>
    <x v="1"/>
    <x v="3"/>
    <n v="820"/>
    <x v="1"/>
  </r>
  <r>
    <s v="T034"/>
    <s v="U34"/>
    <x v="3"/>
    <x v="4"/>
    <x v="0"/>
    <x v="8"/>
    <n v="500"/>
    <x v="0"/>
  </r>
  <r>
    <s v="T035"/>
    <s v="U35"/>
    <x v="6"/>
    <x v="0"/>
    <x v="0"/>
    <x v="9"/>
    <n v="280"/>
    <x v="1"/>
  </r>
  <r>
    <s v="T036"/>
    <s v="U36"/>
    <x v="5"/>
    <x v="1"/>
    <x v="0"/>
    <x v="0"/>
    <n v="340"/>
    <x v="0"/>
  </r>
  <r>
    <s v="T037"/>
    <s v="U37"/>
    <x v="0"/>
    <x v="3"/>
    <x v="0"/>
    <x v="1"/>
    <n v="210"/>
    <x v="1"/>
  </r>
  <r>
    <s v="T038"/>
    <s v="U38"/>
    <x v="1"/>
    <x v="2"/>
    <x v="1"/>
    <x v="7"/>
    <n v="230"/>
    <x v="0"/>
  </r>
  <r>
    <s v="T039"/>
    <s v="U39"/>
    <x v="2"/>
    <x v="1"/>
    <x v="0"/>
    <x v="10"/>
    <n v="370"/>
    <x v="0"/>
  </r>
  <r>
    <s v="T040"/>
    <s v="U40"/>
    <x v="3"/>
    <x v="4"/>
    <x v="1"/>
    <x v="11"/>
    <n v="150"/>
    <x v="0"/>
  </r>
  <r>
    <s v="T041"/>
    <s v="U41"/>
    <x v="4"/>
    <x v="0"/>
    <x v="0"/>
    <x v="12"/>
    <n v="450"/>
    <x v="0"/>
  </r>
  <r>
    <s v="T042"/>
    <s v="U42"/>
    <x v="1"/>
    <x v="1"/>
    <x v="0"/>
    <x v="13"/>
    <n v="210"/>
    <x v="1"/>
  </r>
  <r>
    <s v="T043"/>
    <s v="U43"/>
    <x v="0"/>
    <x v="2"/>
    <x v="0"/>
    <x v="14"/>
    <n v="200"/>
    <x v="1"/>
  </r>
  <r>
    <s v="T044"/>
    <s v="U44"/>
    <x v="2"/>
    <x v="3"/>
    <x v="0"/>
    <x v="6"/>
    <n v="499"/>
    <x v="1"/>
  </r>
  <r>
    <s v="T045"/>
    <s v="U45"/>
    <x v="6"/>
    <x v="0"/>
    <x v="0"/>
    <x v="5"/>
    <n v="700"/>
    <x v="1"/>
  </r>
  <r>
    <s v="T046"/>
    <s v="U46"/>
    <x v="5"/>
    <x v="1"/>
    <x v="1"/>
    <x v="4"/>
    <n v="310"/>
    <x v="0"/>
  </r>
  <r>
    <s v="T047"/>
    <s v="U47"/>
    <x v="0"/>
    <x v="4"/>
    <x v="0"/>
    <x v="2"/>
    <n v="600"/>
    <x v="0"/>
  </r>
  <r>
    <s v="T048"/>
    <s v="U48"/>
    <x v="1"/>
    <x v="0"/>
    <x v="0"/>
    <x v="3"/>
    <n v="180"/>
    <x v="1"/>
  </r>
  <r>
    <s v="T049"/>
    <s v="U49"/>
    <x v="2"/>
    <x v="1"/>
    <x v="0"/>
    <x v="8"/>
    <n v="399"/>
    <x v="1"/>
  </r>
  <r>
    <s v="T050"/>
    <s v="U50"/>
    <x v="3"/>
    <x v="2"/>
    <x v="0"/>
    <x v="9"/>
    <n v="550"/>
    <x v="0"/>
  </r>
  <r>
    <s v="T051"/>
    <s v="U51"/>
    <x v="0"/>
    <x v="3"/>
    <x v="0"/>
    <x v="0"/>
    <n v="280"/>
    <x v="1"/>
  </r>
  <r>
    <s v="T052"/>
    <s v="U52"/>
    <x v="1"/>
    <x v="4"/>
    <x v="1"/>
    <x v="1"/>
    <n v="150"/>
    <x v="0"/>
  </r>
  <r>
    <s v="T053"/>
    <s v="U53"/>
    <x v="2"/>
    <x v="0"/>
    <x v="0"/>
    <x v="7"/>
    <n v="220"/>
    <x v="0"/>
  </r>
  <r>
    <s v="T054"/>
    <s v="U54"/>
    <x v="5"/>
    <x v="1"/>
    <x v="0"/>
    <x v="10"/>
    <n v="130"/>
    <x v="1"/>
  </r>
  <r>
    <s v="T055"/>
    <s v="U55"/>
    <x v="4"/>
    <x v="3"/>
    <x v="0"/>
    <x v="11"/>
    <n v="450"/>
    <x v="1"/>
  </r>
  <r>
    <s v="T056"/>
    <s v="U56"/>
    <x v="2"/>
    <x v="4"/>
    <x v="0"/>
    <x v="12"/>
    <n v="200"/>
    <x v="0"/>
  </r>
  <r>
    <s v="T057"/>
    <s v="U57"/>
    <x v="3"/>
    <x v="1"/>
    <x v="0"/>
    <x v="13"/>
    <n v="190"/>
    <x v="1"/>
  </r>
  <r>
    <s v="T058"/>
    <s v="U58"/>
    <x v="5"/>
    <x v="0"/>
    <x v="0"/>
    <x v="14"/>
    <n v="300"/>
    <x v="0"/>
  </r>
  <r>
    <s v="T059"/>
    <s v="U59"/>
    <x v="6"/>
    <x v="2"/>
    <x v="1"/>
    <x v="6"/>
    <n v="250"/>
    <x v="0"/>
  </r>
  <r>
    <s v="T060"/>
    <s v="U60"/>
    <x v="0"/>
    <x v="1"/>
    <x v="0"/>
    <x v="5"/>
    <n v="299"/>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C92040F-3D83-488F-8BBC-AE0798BC9CDC}"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Status">
  <location ref="A30:B33" firstHeaderRow="1" firstDataRow="1" firstDataCol="1"/>
  <pivotFields count="8">
    <pivotField showAll="0"/>
    <pivotField showAll="0"/>
    <pivotField showAll="0">
      <items count="8">
        <item x="0"/>
        <item x="5"/>
        <item x="3"/>
        <item x="4"/>
        <item x="6"/>
        <item x="1"/>
        <item x="2"/>
        <item t="default"/>
      </items>
    </pivotField>
    <pivotField showAll="0">
      <items count="6">
        <item x="4"/>
        <item x="0"/>
        <item x="2"/>
        <item x="3"/>
        <item x="1"/>
        <item t="default"/>
      </items>
    </pivotField>
    <pivotField showAll="0"/>
    <pivotField showAll="0"/>
    <pivotField dataField="1" showAll="0"/>
    <pivotField axis="axisRow" showAll="0">
      <items count="3">
        <item x="1"/>
        <item x="0"/>
        <item t="default"/>
      </items>
    </pivotField>
  </pivotFields>
  <rowFields count="1">
    <field x="7"/>
  </rowFields>
  <rowItems count="3">
    <i>
      <x/>
    </i>
    <i>
      <x v="1"/>
    </i>
    <i t="grand">
      <x/>
    </i>
  </rowItems>
  <colItems count="1">
    <i/>
  </colItems>
  <dataFields count="1">
    <dataField name="Sum of Amount" fld="6" baseField="0" baseItem="0"/>
  </dataFields>
  <chartFormats count="3">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7" count="1" selected="0">
            <x v="0"/>
          </reference>
        </references>
      </pivotArea>
    </chartFormat>
    <chartFormat chart="1" format="2">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A02124C-57C4-449E-A50F-45D83017B18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A9" firstHeaderRow="1" firstDataRow="1" firstDataCol="0"/>
  <pivotFields count="8">
    <pivotField showAll="0"/>
    <pivotField dataField="1" showAll="0"/>
    <pivotField showAll="0">
      <items count="8">
        <item x="0"/>
        <item x="5"/>
        <item x="3"/>
        <item x="4"/>
        <item x="6"/>
        <item x="1"/>
        <item x="2"/>
        <item t="default"/>
      </items>
    </pivotField>
    <pivotField showAll="0">
      <items count="6">
        <item x="4"/>
        <item x="0"/>
        <item x="2"/>
        <item x="3"/>
        <item x="1"/>
        <item t="default"/>
      </items>
    </pivotField>
    <pivotField showAll="0"/>
    <pivotField showAll="0"/>
    <pivotField showAll="0"/>
    <pivotField showAll="0"/>
  </pivotFields>
  <rowItems count="1">
    <i/>
  </rowItems>
  <colItems count="1">
    <i/>
  </colItems>
  <dataFields count="1">
    <dataField name="Count of User_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F2BE3DF-6ADF-42AD-9A08-36903C8491FD}"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K36:L42" firstHeaderRow="1" firstDataRow="1" firstDataCol="1"/>
  <pivotFields count="8">
    <pivotField showAll="0"/>
    <pivotField showAll="0"/>
    <pivotField showAll="0">
      <items count="8">
        <item x="0"/>
        <item x="5"/>
        <item x="3"/>
        <item x="4"/>
        <item x="6"/>
        <item x="1"/>
        <item x="2"/>
        <item t="default"/>
      </items>
    </pivotField>
    <pivotField axis="axisRow" showAll="0">
      <items count="6">
        <item x="4"/>
        <item x="0"/>
        <item x="2"/>
        <item x="3"/>
        <item x="1"/>
        <item t="default"/>
      </items>
    </pivotField>
    <pivotField showAll="0"/>
    <pivotField showAll="0"/>
    <pivotField dataField="1" showAll="0"/>
    <pivotField showAll="0"/>
  </pivotFields>
  <rowFields count="1">
    <field x="3"/>
  </rowFields>
  <rowItems count="6">
    <i>
      <x/>
    </i>
    <i>
      <x v="1"/>
    </i>
    <i>
      <x v="2"/>
    </i>
    <i>
      <x v="3"/>
    </i>
    <i>
      <x v="4"/>
    </i>
    <i t="grand">
      <x/>
    </i>
  </rowItems>
  <colItems count="1">
    <i/>
  </colItems>
  <dataFields count="1">
    <dataField name="Sum of Amount" fld="6" baseField="0" baseItem="0"/>
  </dataFields>
  <chartFormats count="19">
    <chartFormat chart="4"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0"/>
          </reference>
        </references>
      </pivotArea>
    </chartFormat>
    <chartFormat chart="11" format="2">
      <pivotArea type="data" outline="0" fieldPosition="0">
        <references count="2">
          <reference field="4294967294" count="1" selected="0">
            <x v="0"/>
          </reference>
          <reference field="3" count="1" selected="0">
            <x v="0"/>
          </reference>
        </references>
      </pivotArea>
    </chartFormat>
    <chartFormat chart="11" format="3">
      <pivotArea type="data" outline="0" fieldPosition="0">
        <references count="2">
          <reference field="4294967294" count="1" selected="0">
            <x v="0"/>
          </reference>
          <reference field="3" count="1" selected="0">
            <x v="1"/>
          </reference>
        </references>
      </pivotArea>
    </chartFormat>
    <chartFormat chart="11" format="4">
      <pivotArea type="data" outline="0" fieldPosition="0">
        <references count="2">
          <reference field="4294967294" count="1" selected="0">
            <x v="0"/>
          </reference>
          <reference field="3" count="1" selected="0">
            <x v="2"/>
          </reference>
        </references>
      </pivotArea>
    </chartFormat>
    <chartFormat chart="11" format="5">
      <pivotArea type="data" outline="0" fieldPosition="0">
        <references count="2">
          <reference field="4294967294" count="1" selected="0">
            <x v="0"/>
          </reference>
          <reference field="3" count="1" selected="0">
            <x v="3"/>
          </reference>
        </references>
      </pivotArea>
    </chartFormat>
    <chartFormat chart="11" format="6">
      <pivotArea type="data" outline="0" fieldPosition="0">
        <references count="2">
          <reference field="4294967294" count="1" selected="0">
            <x v="0"/>
          </reference>
          <reference field="3" count="1" selected="0">
            <x v="4"/>
          </reference>
        </references>
      </pivotArea>
    </chartFormat>
    <chartFormat chart="12" format="7" series="1">
      <pivotArea type="data" outline="0" fieldPosition="0">
        <references count="1">
          <reference field="4294967294" count="1" selected="0">
            <x v="0"/>
          </reference>
        </references>
      </pivotArea>
    </chartFormat>
    <chartFormat chart="12" format="8">
      <pivotArea type="data" outline="0" fieldPosition="0">
        <references count="2">
          <reference field="4294967294" count="1" selected="0">
            <x v="0"/>
          </reference>
          <reference field="3" count="1" selected="0">
            <x v="0"/>
          </reference>
        </references>
      </pivotArea>
    </chartFormat>
    <chartFormat chart="12" format="9">
      <pivotArea type="data" outline="0" fieldPosition="0">
        <references count="2">
          <reference field="4294967294" count="1" selected="0">
            <x v="0"/>
          </reference>
          <reference field="3" count="1" selected="0">
            <x v="1"/>
          </reference>
        </references>
      </pivotArea>
    </chartFormat>
    <chartFormat chart="12" format="10">
      <pivotArea type="data" outline="0" fieldPosition="0">
        <references count="2">
          <reference field="4294967294" count="1" selected="0">
            <x v="0"/>
          </reference>
          <reference field="3" count="1" selected="0">
            <x v="2"/>
          </reference>
        </references>
      </pivotArea>
    </chartFormat>
    <chartFormat chart="12" format="11">
      <pivotArea type="data" outline="0" fieldPosition="0">
        <references count="2">
          <reference field="4294967294" count="1" selected="0">
            <x v="0"/>
          </reference>
          <reference field="3" count="1" selected="0">
            <x v="3"/>
          </reference>
        </references>
      </pivotArea>
    </chartFormat>
    <chartFormat chart="12" format="12">
      <pivotArea type="data" outline="0" fieldPosition="0">
        <references count="2">
          <reference field="4294967294" count="1" selected="0">
            <x v="0"/>
          </reference>
          <reference field="3" count="1" selected="0">
            <x v="4"/>
          </reference>
        </references>
      </pivotArea>
    </chartFormat>
    <chartFormat chart="7" format="1">
      <pivotArea type="data" outline="0" fieldPosition="0">
        <references count="2">
          <reference field="4294967294" count="1" selected="0">
            <x v="0"/>
          </reference>
          <reference field="3" count="1" selected="0">
            <x v="0"/>
          </reference>
        </references>
      </pivotArea>
    </chartFormat>
    <chartFormat chart="7" format="2">
      <pivotArea type="data" outline="0" fieldPosition="0">
        <references count="2">
          <reference field="4294967294" count="1" selected="0">
            <x v="0"/>
          </reference>
          <reference field="3" count="1" selected="0">
            <x v="1"/>
          </reference>
        </references>
      </pivotArea>
    </chartFormat>
    <chartFormat chart="7" format="3">
      <pivotArea type="data" outline="0" fieldPosition="0">
        <references count="2">
          <reference field="4294967294" count="1" selected="0">
            <x v="0"/>
          </reference>
          <reference field="3" count="1" selected="0">
            <x v="2"/>
          </reference>
        </references>
      </pivotArea>
    </chartFormat>
    <chartFormat chart="7" format="4">
      <pivotArea type="data" outline="0" fieldPosition="0">
        <references count="2">
          <reference field="4294967294" count="1" selected="0">
            <x v="0"/>
          </reference>
          <reference field="3" count="1" selected="0">
            <x v="3"/>
          </reference>
        </references>
      </pivotArea>
    </chartFormat>
    <chartFormat chart="7" format="5">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79892FF-2817-4622-A523-0A51B539AD62}"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rowHeaderCaption="Device">
  <location ref="A24:B27" firstHeaderRow="1" firstDataRow="1" firstDataCol="1"/>
  <pivotFields count="8">
    <pivotField showAll="0"/>
    <pivotField showAll="0"/>
    <pivotField showAll="0">
      <items count="8">
        <item x="0"/>
        <item x="5"/>
        <item x="3"/>
        <item x="4"/>
        <item x="6"/>
        <item x="1"/>
        <item x="2"/>
        <item t="default"/>
      </items>
    </pivotField>
    <pivotField showAll="0"/>
    <pivotField axis="axisRow" showAll="0">
      <items count="3">
        <item x="0"/>
        <item x="1"/>
        <item t="default"/>
      </items>
    </pivotField>
    <pivotField showAll="0"/>
    <pivotField dataField="1" showAll="0"/>
    <pivotField showAll="0"/>
  </pivotFields>
  <rowFields count="1">
    <field x="4"/>
  </rowFields>
  <rowItems count="3">
    <i>
      <x/>
    </i>
    <i>
      <x v="1"/>
    </i>
    <i t="grand">
      <x/>
    </i>
  </rowItems>
  <colItems count="1">
    <i/>
  </colItems>
  <dataFields count="1">
    <dataField name="Sum of Amount" fld="6" baseField="0" baseItem="0"/>
  </dataFields>
  <chartFormats count="2">
    <chartFormat chart="15"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E0E18BA-A26C-4544-976A-9E981A8D7C1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6" rowHeaderCaption="City">
  <location ref="A12:B20" firstHeaderRow="1" firstDataRow="1" firstDataCol="1"/>
  <pivotFields count="8">
    <pivotField showAll="0"/>
    <pivotField showAll="0"/>
    <pivotField axis="axisRow" showAll="0">
      <items count="8">
        <item x="0"/>
        <item x="5"/>
        <item x="3"/>
        <item x="4"/>
        <item x="6"/>
        <item x="1"/>
        <item x="2"/>
        <item t="default"/>
      </items>
    </pivotField>
    <pivotField showAll="0">
      <items count="6">
        <item x="4"/>
        <item x="0"/>
        <item x="2"/>
        <item x="3"/>
        <item x="1"/>
        <item t="default"/>
      </items>
    </pivotField>
    <pivotField showAll="0"/>
    <pivotField showAll="0">
      <items count="16">
        <item x="0"/>
        <item x="1"/>
        <item x="7"/>
        <item x="10"/>
        <item x="11"/>
        <item x="12"/>
        <item x="13"/>
        <item x="14"/>
        <item x="6"/>
        <item x="5"/>
        <item x="4"/>
        <item x="2"/>
        <item x="3"/>
        <item x="8"/>
        <item x="9"/>
        <item t="default"/>
      </items>
    </pivotField>
    <pivotField dataField="1" showAll="0"/>
    <pivotField showAll="0">
      <items count="3">
        <item x="1"/>
        <item x="0"/>
        <item t="default"/>
      </items>
    </pivotField>
  </pivotFields>
  <rowFields count="1">
    <field x="2"/>
  </rowFields>
  <rowItems count="8">
    <i>
      <x/>
    </i>
    <i>
      <x v="1"/>
    </i>
    <i>
      <x v="2"/>
    </i>
    <i>
      <x v="3"/>
    </i>
    <i>
      <x v="4"/>
    </i>
    <i>
      <x v="5"/>
    </i>
    <i>
      <x v="6"/>
    </i>
    <i t="grand">
      <x/>
    </i>
  </rowItems>
  <colItems count="1">
    <i/>
  </colItems>
  <dataFields count="1">
    <dataField name="Sum of Amount" fld="6" baseField="0" baseItem="0"/>
  </dataFields>
  <chartFormats count="2">
    <chartFormat chart="28" format="0" series="1">
      <pivotArea type="data" outline="0" fieldPosition="0">
        <references count="1">
          <reference field="4294967294" count="1" selected="0">
            <x v="0"/>
          </reference>
        </references>
      </pivotArea>
    </chartFormat>
    <chartFormat chart="3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CB12B9B-98A2-4C8F-B822-8BDE5BB46A0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8">
    <pivotField showAll="0"/>
    <pivotField showAll="0"/>
    <pivotField showAll="0">
      <items count="8">
        <item x="0"/>
        <item x="5"/>
        <item x="3"/>
        <item x="4"/>
        <item x="6"/>
        <item x="1"/>
        <item x="2"/>
        <item t="default"/>
      </items>
    </pivotField>
    <pivotField showAll="0">
      <items count="6">
        <item x="4"/>
        <item x="0"/>
        <item x="2"/>
        <item x="3"/>
        <item x="1"/>
        <item t="default"/>
      </items>
    </pivotField>
    <pivotField showAll="0"/>
    <pivotField showAll="0"/>
    <pivotField dataField="1" showAll="0"/>
    <pivotField showAll="0"/>
  </pivotFields>
  <rowItems count="1">
    <i/>
  </rowItems>
  <colItems count="1">
    <i/>
  </colItems>
  <dataFields count="1">
    <dataField name="Sum of Amount"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692C9F3-09A2-4469-980F-B87FA73DE83B}"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53:C54" firstHeaderRow="1" firstDataRow="1" firstDataCol="0"/>
  <pivotFields count="8">
    <pivotField showAll="0"/>
    <pivotField showAll="0"/>
    <pivotField showAll="0">
      <items count="8">
        <item x="0"/>
        <item x="5"/>
        <item x="3"/>
        <item x="4"/>
        <item x="6"/>
        <item x="1"/>
        <item x="2"/>
        <item t="default"/>
      </items>
    </pivotField>
    <pivotField showAll="0">
      <items count="6">
        <item x="4"/>
        <item x="0"/>
        <item x="2"/>
        <item x="3"/>
        <item x="1"/>
        <item t="default"/>
      </items>
    </pivotField>
    <pivotField showAll="0"/>
    <pivotField showAll="0"/>
    <pivotField dataField="1" showAll="0"/>
    <pivotField showAll="0"/>
  </pivotFields>
  <rowItems count="1">
    <i/>
  </rowItems>
  <colItems count="1">
    <i/>
  </colItems>
  <dataFields count="1">
    <dataField name=" "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0AD32E62-8ED7-4933-9A4F-01497A752E9F}" sourceName="City">
  <pivotTables>
    <pivotTable tabId="11" name="PivotTable3"/>
    <pivotTable tabId="11" name="PivotTable1"/>
    <pivotTable tabId="11" name="PivotTable2"/>
    <pivotTable tabId="11" name="PivotTable4"/>
    <pivotTable tabId="11" name="PivotTable5"/>
    <pivotTable tabId="11" name="PivotTable6"/>
    <pivotTable tabId="11" name="PivotTable8"/>
  </pivotTables>
  <data>
    <tabular pivotCacheId="1074195971">
      <items count="7">
        <i x="0" s="1"/>
        <i x="5" s="1"/>
        <i x="3" s="1"/>
        <i x="4" s="1"/>
        <i x="6"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ank" xr10:uid="{33AC11CF-357A-4154-9334-91B775530FE7}" sourceName="Bank">
  <pivotTables>
    <pivotTable tabId="11" name="PivotTable3"/>
    <pivotTable tabId="11" name="PivotTable1"/>
    <pivotTable tabId="11" name="PivotTable2"/>
    <pivotTable tabId="11" name="PivotTable5"/>
    <pivotTable tabId="11" name="PivotTable6"/>
    <pivotTable tabId="11" name="PivotTable8"/>
  </pivotTables>
  <data>
    <tabular pivotCacheId="1074195971">
      <items count="5">
        <i x="4" s="1"/>
        <i x="0" s="1"/>
        <i x="2" s="1"/>
        <i x="3"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ur_of_Day" xr10:uid="{4589362C-6001-4BDE-9BCE-17D00F23D305}" sourceName="Hour_of_Day">
  <pivotTables>
    <pivotTable tabId="11" name="PivotTable3"/>
  </pivotTables>
  <data>
    <tabular pivotCacheId="1074195971">
      <items count="15">
        <i x="0" s="1"/>
        <i x="1" s="1"/>
        <i x="7" s="1"/>
        <i x="10" s="1"/>
        <i x="11" s="1"/>
        <i x="12" s="1"/>
        <i x="13" s="1"/>
        <i x="14" s="1"/>
        <i x="6" s="1"/>
        <i x="5" s="1"/>
        <i x="4" s="1"/>
        <i x="2" s="1"/>
        <i x="3" s="1"/>
        <i x="8" s="1"/>
        <i x="9"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158CECFB-9D73-4289-B67B-3882EE94F256}" sourceName="Status">
  <pivotTables>
    <pivotTable tabId="11" name="PivotTable3"/>
  </pivotTables>
  <data>
    <tabular pivotCacheId="1074195971">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F5367AED-1DB4-4AA5-8A41-171B0D840DAE}" cache="Slicer_City" caption="City" style="SlicerStyleLight2" rowHeight="241300"/>
  <slicer name="Bank" xr10:uid="{482798AC-DAF9-4A03-B018-CF806EB2905D}" cache="Slicer_Bank" caption="Bank" style="SlicerStyleLight2" rowHeight="241300"/>
  <slicer name="Hour_of_Day" xr10:uid="{603D9195-0788-432D-9AD2-65495AB33CE1}" cache="Slicer_Hour_of_Day" caption="Hour_of_Day" style="SlicerStyleLight2" rowHeight="241300"/>
  <slicer name="Status" xr10:uid="{965B03A2-D655-41C7-99D6-55F39CDDF563}" cache="Slicer_Status" caption="Status" style="SlicerStyleLight2"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1" xr10:uid="{762A3838-F084-4B8F-B85D-88E0BC51F5AA}" cache="Slicer_City" caption="City" columnCount="3" style="SlicerStyleLight2" rowHeight="241300"/>
  <slicer name="Bank 1" xr10:uid="{2A9B4E7B-EBF1-4041-9829-5266CB20391B}" cache="Slicer_Bank" caption="Bank" columnCount="2" style="SlicerStyleLight2" rowHeight="241300"/>
  <slicer name="Hour_of_Day 1" xr10:uid="{A8604400-105C-4AE9-8AF7-DA141468B897}" cache="Slicer_Hour_of_Day" caption="Hour_of_Day" style="SlicerStyleLight2" rowHeight="241300"/>
  <slicer name="Status 1" xr10:uid="{19A89D28-2D1D-4F5F-A441-C5D5C2F79B74}" cache="Slicer_Status" caption="Status" style="SlicerStyleLight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73AAE-FEBF-482D-85F2-6C91C33E924C}">
  <dimension ref="A1:M52"/>
  <sheetViews>
    <sheetView workbookViewId="0">
      <selection activeCell="M4" sqref="M4"/>
    </sheetView>
  </sheetViews>
  <sheetFormatPr defaultRowHeight="14.5" x14ac:dyDescent="0.35"/>
  <cols>
    <col min="1" max="1" width="6.6328125" bestFit="1" customWidth="1"/>
    <col min="2" max="2" width="7.453125" bestFit="1" customWidth="1"/>
    <col min="3" max="3" width="14.453125" customWidth="1"/>
    <col min="4" max="4" width="12.1796875" customWidth="1"/>
    <col min="5" max="5" width="12" customWidth="1"/>
    <col min="6" max="6" width="13.6328125" customWidth="1"/>
    <col min="7" max="7" width="14.453125" customWidth="1"/>
    <col min="8" max="8" width="14.54296875" customWidth="1"/>
  </cols>
  <sheetData>
    <row r="1" spans="1:13" ht="29.5" thickBot="1" x14ac:dyDescent="0.4">
      <c r="A1" s="1" t="s">
        <v>0</v>
      </c>
      <c r="B1" s="2" t="s">
        <v>1</v>
      </c>
      <c r="C1" s="2" t="s">
        <v>2</v>
      </c>
      <c r="D1" s="2" t="s">
        <v>3</v>
      </c>
      <c r="E1" s="2" t="s">
        <v>4</v>
      </c>
      <c r="F1" s="2" t="s">
        <v>5</v>
      </c>
      <c r="G1" s="2" t="s">
        <v>6</v>
      </c>
      <c r="H1" s="2" t="s">
        <v>7</v>
      </c>
    </row>
    <row r="2" spans="1:13" ht="15" thickBot="1" x14ac:dyDescent="0.4">
      <c r="A2" s="3" t="s">
        <v>8</v>
      </c>
      <c r="B2" s="3" t="s">
        <v>9</v>
      </c>
      <c r="C2" s="3" t="s">
        <v>10</v>
      </c>
      <c r="D2" s="3" t="s">
        <v>11</v>
      </c>
      <c r="E2" s="3" t="s">
        <v>12</v>
      </c>
      <c r="F2" s="4">
        <v>9</v>
      </c>
      <c r="G2" s="4">
        <v>250</v>
      </c>
      <c r="H2" s="3" t="s">
        <v>13</v>
      </c>
    </row>
    <row r="3" spans="1:13" ht="15" thickBot="1" x14ac:dyDescent="0.4">
      <c r="A3" s="3" t="s">
        <v>14</v>
      </c>
      <c r="B3" s="3" t="s">
        <v>15</v>
      </c>
      <c r="C3" s="3" t="s">
        <v>16</v>
      </c>
      <c r="D3" s="3" t="s">
        <v>17</v>
      </c>
      <c r="E3" s="3" t="s">
        <v>18</v>
      </c>
      <c r="F3" s="4">
        <v>10</v>
      </c>
      <c r="G3" s="4">
        <v>120</v>
      </c>
      <c r="H3" s="3" t="s">
        <v>19</v>
      </c>
    </row>
    <row r="4" spans="1:13" ht="15" thickBot="1" x14ac:dyDescent="0.4">
      <c r="A4" s="3" t="s">
        <v>20</v>
      </c>
      <c r="B4" s="3" t="s">
        <v>21</v>
      </c>
      <c r="C4" s="3" t="s">
        <v>22</v>
      </c>
      <c r="D4" s="3" t="s">
        <v>23</v>
      </c>
      <c r="E4" s="3" t="s">
        <v>12</v>
      </c>
      <c r="F4" s="4">
        <v>20</v>
      </c>
      <c r="G4" s="4">
        <v>560</v>
      </c>
      <c r="H4" s="3" t="s">
        <v>13</v>
      </c>
    </row>
    <row r="5" spans="1:13" ht="15" thickBot="1" x14ac:dyDescent="0.4">
      <c r="A5" s="3" t="s">
        <v>24</v>
      </c>
      <c r="B5" s="3" t="s">
        <v>25</v>
      </c>
      <c r="C5" s="3" t="s">
        <v>26</v>
      </c>
      <c r="D5" s="3" t="s">
        <v>11</v>
      </c>
      <c r="E5" s="3" t="s">
        <v>12</v>
      </c>
      <c r="F5" s="4">
        <v>21</v>
      </c>
      <c r="G5" s="4">
        <v>300</v>
      </c>
      <c r="H5" s="3" t="s">
        <v>19</v>
      </c>
    </row>
    <row r="6" spans="1:13" ht="15" thickBot="1" x14ac:dyDescent="0.4">
      <c r="A6" s="3" t="s">
        <v>27</v>
      </c>
      <c r="B6" s="3" t="s">
        <v>28</v>
      </c>
      <c r="C6" s="3" t="s">
        <v>29</v>
      </c>
      <c r="D6" s="3" t="s">
        <v>17</v>
      </c>
      <c r="E6" s="3" t="s">
        <v>12</v>
      </c>
      <c r="F6" s="4">
        <v>19</v>
      </c>
      <c r="G6" s="4">
        <v>150</v>
      </c>
      <c r="H6" s="3" t="s">
        <v>19</v>
      </c>
    </row>
    <row r="7" spans="1:13" ht="15" customHeight="1" thickBot="1" x14ac:dyDescent="0.4">
      <c r="A7" s="3" t="s">
        <v>30</v>
      </c>
      <c r="B7" s="3" t="s">
        <v>31</v>
      </c>
      <c r="C7" s="3" t="s">
        <v>10</v>
      </c>
      <c r="D7" s="3" t="s">
        <v>23</v>
      </c>
      <c r="E7" s="3" t="s">
        <v>18</v>
      </c>
      <c r="F7" s="4">
        <v>18</v>
      </c>
      <c r="G7" s="4">
        <v>900</v>
      </c>
      <c r="H7" s="3" t="s">
        <v>13</v>
      </c>
      <c r="L7" s="8"/>
      <c r="M7" s="9"/>
    </row>
    <row r="8" spans="1:13" ht="15" thickBot="1" x14ac:dyDescent="0.4">
      <c r="A8" s="3" t="s">
        <v>32</v>
      </c>
      <c r="B8" s="3" t="s">
        <v>33</v>
      </c>
      <c r="C8" s="3" t="s">
        <v>16</v>
      </c>
      <c r="D8" s="3" t="s">
        <v>11</v>
      </c>
      <c r="E8" s="3" t="s">
        <v>12</v>
      </c>
      <c r="F8" s="4">
        <v>17</v>
      </c>
      <c r="G8" s="4">
        <v>700</v>
      </c>
      <c r="H8" s="3" t="s">
        <v>13</v>
      </c>
      <c r="L8" s="9"/>
      <c r="M8" s="9"/>
    </row>
    <row r="9" spans="1:13" ht="15" thickBot="1" x14ac:dyDescent="0.4">
      <c r="A9" s="3" t="s">
        <v>34</v>
      </c>
      <c r="B9" s="3" t="s">
        <v>35</v>
      </c>
      <c r="C9" s="3" t="s">
        <v>36</v>
      </c>
      <c r="D9" s="3" t="s">
        <v>37</v>
      </c>
      <c r="E9" s="3" t="s">
        <v>12</v>
      </c>
      <c r="F9" s="4">
        <v>11</v>
      </c>
      <c r="G9" s="4">
        <v>230</v>
      </c>
      <c r="H9" s="3" t="s">
        <v>19</v>
      </c>
      <c r="L9" s="9"/>
      <c r="M9" s="9"/>
    </row>
    <row r="10" spans="1:13" ht="15" thickBot="1" x14ac:dyDescent="0.4">
      <c r="A10" s="3" t="s">
        <v>38</v>
      </c>
      <c r="B10" s="3" t="s">
        <v>39</v>
      </c>
      <c r="C10" s="3" t="s">
        <v>36</v>
      </c>
      <c r="D10" s="3" t="s">
        <v>11</v>
      </c>
      <c r="E10" s="3" t="s">
        <v>12</v>
      </c>
      <c r="F10" s="4">
        <v>21</v>
      </c>
      <c r="G10" s="4">
        <v>200</v>
      </c>
      <c r="H10" s="3" t="s">
        <v>19</v>
      </c>
      <c r="L10" s="9"/>
      <c r="M10" s="9"/>
    </row>
    <row r="11" spans="1:13" ht="19" thickBot="1" x14ac:dyDescent="0.5">
      <c r="A11" s="3" t="s">
        <v>40</v>
      </c>
      <c r="B11" s="3" t="s">
        <v>41</v>
      </c>
      <c r="C11" s="3" t="s">
        <v>42</v>
      </c>
      <c r="D11" s="3" t="s">
        <v>17</v>
      </c>
      <c r="E11" s="3" t="s">
        <v>12</v>
      </c>
      <c r="F11" s="4">
        <v>22</v>
      </c>
      <c r="G11" s="4">
        <v>310</v>
      </c>
      <c r="H11" s="3" t="s">
        <v>19</v>
      </c>
      <c r="L11" s="10"/>
      <c r="M11" s="10"/>
    </row>
    <row r="12" spans="1:13" ht="15" thickBot="1" x14ac:dyDescent="0.4">
      <c r="A12" s="3" t="s">
        <v>43</v>
      </c>
      <c r="B12" s="3" t="s">
        <v>44</v>
      </c>
      <c r="C12" s="3" t="s">
        <v>10</v>
      </c>
      <c r="D12" s="3" t="s">
        <v>23</v>
      </c>
      <c r="E12" s="3" t="s">
        <v>12</v>
      </c>
      <c r="F12" s="4">
        <v>23</v>
      </c>
      <c r="G12" s="4">
        <v>400</v>
      </c>
      <c r="H12" s="3" t="s">
        <v>19</v>
      </c>
    </row>
    <row r="13" spans="1:13" ht="15" thickBot="1" x14ac:dyDescent="0.4">
      <c r="A13" s="3" t="s">
        <v>45</v>
      </c>
      <c r="B13" s="3" t="s">
        <v>46</v>
      </c>
      <c r="C13" s="3" t="s">
        <v>16</v>
      </c>
      <c r="D13" s="3" t="s">
        <v>11</v>
      </c>
      <c r="E13" s="3" t="s">
        <v>18</v>
      </c>
      <c r="F13" s="4">
        <v>9</v>
      </c>
      <c r="G13" s="4">
        <v>140</v>
      </c>
      <c r="H13" s="3" t="s">
        <v>13</v>
      </c>
    </row>
    <row r="14" spans="1:13" ht="15" thickBot="1" x14ac:dyDescent="0.4">
      <c r="A14" s="3" t="s">
        <v>47</v>
      </c>
      <c r="B14" s="3" t="s">
        <v>48</v>
      </c>
      <c r="C14" s="3" t="s">
        <v>22</v>
      </c>
      <c r="D14" s="3" t="s">
        <v>49</v>
      </c>
      <c r="E14" s="3" t="s">
        <v>12</v>
      </c>
      <c r="F14" s="4">
        <v>10</v>
      </c>
      <c r="G14" s="4">
        <v>600</v>
      </c>
      <c r="H14" s="3" t="s">
        <v>13</v>
      </c>
    </row>
    <row r="15" spans="1:13" ht="15" thickBot="1" x14ac:dyDescent="0.4">
      <c r="A15" s="3" t="s">
        <v>50</v>
      </c>
      <c r="B15" s="3" t="s">
        <v>51</v>
      </c>
      <c r="C15" s="3" t="s">
        <v>26</v>
      </c>
      <c r="D15" s="3" t="s">
        <v>37</v>
      </c>
      <c r="E15" s="3" t="s">
        <v>12</v>
      </c>
      <c r="F15" s="4">
        <v>11</v>
      </c>
      <c r="G15" s="4">
        <v>200</v>
      </c>
      <c r="H15" s="3" t="s">
        <v>19</v>
      </c>
    </row>
    <row r="16" spans="1:13" ht="15" thickBot="1" x14ac:dyDescent="0.4">
      <c r="A16" s="3" t="s">
        <v>52</v>
      </c>
      <c r="B16" s="3" t="s">
        <v>53</v>
      </c>
      <c r="C16" s="3" t="s">
        <v>36</v>
      </c>
      <c r="D16" s="3" t="s">
        <v>17</v>
      </c>
      <c r="E16" s="3" t="s">
        <v>18</v>
      </c>
      <c r="F16" s="4">
        <v>12</v>
      </c>
      <c r="G16" s="4">
        <v>210</v>
      </c>
      <c r="H16" s="3" t="s">
        <v>19</v>
      </c>
    </row>
    <row r="17" spans="1:8" ht="15" thickBot="1" x14ac:dyDescent="0.4">
      <c r="A17" s="3" t="s">
        <v>54</v>
      </c>
      <c r="B17" s="3" t="s">
        <v>55</v>
      </c>
      <c r="C17" s="3" t="s">
        <v>10</v>
      </c>
      <c r="D17" s="3" t="s">
        <v>49</v>
      </c>
      <c r="E17" s="3" t="s">
        <v>12</v>
      </c>
      <c r="F17" s="4">
        <v>13</v>
      </c>
      <c r="G17" s="4">
        <v>350</v>
      </c>
      <c r="H17" s="3" t="s">
        <v>13</v>
      </c>
    </row>
    <row r="18" spans="1:8" ht="15" thickBot="1" x14ac:dyDescent="0.4">
      <c r="A18" s="3" t="s">
        <v>56</v>
      </c>
      <c r="B18" s="3" t="s">
        <v>57</v>
      </c>
      <c r="C18" s="3" t="s">
        <v>42</v>
      </c>
      <c r="D18" s="3" t="s">
        <v>11</v>
      </c>
      <c r="E18" s="3" t="s">
        <v>12</v>
      </c>
      <c r="F18" s="4">
        <v>14</v>
      </c>
      <c r="G18" s="4">
        <v>999</v>
      </c>
      <c r="H18" s="5" t="s">
        <v>13</v>
      </c>
    </row>
    <row r="19" spans="1:8" ht="15" thickBot="1" x14ac:dyDescent="0.4">
      <c r="A19" s="3" t="s">
        <v>58</v>
      </c>
      <c r="B19" s="3" t="s">
        <v>59</v>
      </c>
      <c r="C19" s="3" t="s">
        <v>22</v>
      </c>
      <c r="D19" s="3" t="s">
        <v>37</v>
      </c>
      <c r="E19" s="3" t="s">
        <v>12</v>
      </c>
      <c r="F19" s="4">
        <v>15</v>
      </c>
      <c r="G19" s="4">
        <v>180</v>
      </c>
      <c r="H19" s="3" t="s">
        <v>19</v>
      </c>
    </row>
    <row r="20" spans="1:8" ht="15" thickBot="1" x14ac:dyDescent="0.4">
      <c r="A20" s="3" t="s">
        <v>60</v>
      </c>
      <c r="B20" s="3" t="s">
        <v>61</v>
      </c>
      <c r="C20" s="3" t="s">
        <v>29</v>
      </c>
      <c r="D20" s="3" t="s">
        <v>17</v>
      </c>
      <c r="E20" s="3" t="s">
        <v>12</v>
      </c>
      <c r="F20" s="4">
        <v>16</v>
      </c>
      <c r="G20" s="4">
        <v>450</v>
      </c>
      <c r="H20" s="3" t="s">
        <v>19</v>
      </c>
    </row>
    <row r="21" spans="1:8" ht="15" thickBot="1" x14ac:dyDescent="0.4">
      <c r="A21" s="3" t="s">
        <v>62</v>
      </c>
      <c r="B21" s="3" t="s">
        <v>63</v>
      </c>
      <c r="C21" s="3" t="s">
        <v>16</v>
      </c>
      <c r="D21" s="3" t="s">
        <v>23</v>
      </c>
      <c r="E21" s="3" t="s">
        <v>18</v>
      </c>
      <c r="F21" s="4">
        <v>17</v>
      </c>
      <c r="G21" s="4">
        <v>299</v>
      </c>
      <c r="H21" s="3" t="s">
        <v>13</v>
      </c>
    </row>
    <row r="22" spans="1:8" ht="15" thickBot="1" x14ac:dyDescent="0.4">
      <c r="A22" s="3" t="s">
        <v>64</v>
      </c>
      <c r="B22" s="3" t="s">
        <v>65</v>
      </c>
      <c r="C22" s="3" t="s">
        <v>10</v>
      </c>
      <c r="D22" s="3" t="s">
        <v>49</v>
      </c>
      <c r="E22" s="3" t="s">
        <v>12</v>
      </c>
      <c r="F22" s="4">
        <v>18</v>
      </c>
      <c r="G22" s="4">
        <v>200</v>
      </c>
      <c r="H22" s="3" t="s">
        <v>19</v>
      </c>
    </row>
    <row r="23" spans="1:8" ht="15" thickBot="1" x14ac:dyDescent="0.4">
      <c r="A23" s="3" t="s">
        <v>66</v>
      </c>
      <c r="B23" s="3" t="s">
        <v>67</v>
      </c>
      <c r="C23" s="3" t="s">
        <v>22</v>
      </c>
      <c r="D23" s="3" t="s">
        <v>11</v>
      </c>
      <c r="E23" s="3" t="s">
        <v>12</v>
      </c>
      <c r="F23" s="4">
        <v>19</v>
      </c>
      <c r="G23" s="4">
        <v>600</v>
      </c>
      <c r="H23" s="3" t="s">
        <v>13</v>
      </c>
    </row>
    <row r="24" spans="1:8" ht="15" thickBot="1" x14ac:dyDescent="0.4">
      <c r="A24" s="3" t="s">
        <v>68</v>
      </c>
      <c r="B24" s="3" t="s">
        <v>69</v>
      </c>
      <c r="C24" s="3" t="s">
        <v>16</v>
      </c>
      <c r="D24" s="3" t="s">
        <v>17</v>
      </c>
      <c r="E24" s="3" t="s">
        <v>12</v>
      </c>
      <c r="F24" s="4">
        <v>20</v>
      </c>
      <c r="G24" s="4">
        <v>180</v>
      </c>
      <c r="H24" s="3" t="s">
        <v>19</v>
      </c>
    </row>
    <row r="25" spans="1:8" ht="15" thickBot="1" x14ac:dyDescent="0.4">
      <c r="A25" s="3" t="s">
        <v>70</v>
      </c>
      <c r="B25" s="3" t="s">
        <v>71</v>
      </c>
      <c r="C25" s="3" t="s">
        <v>10</v>
      </c>
      <c r="D25" s="3" t="s">
        <v>23</v>
      </c>
      <c r="E25" s="3" t="s">
        <v>18</v>
      </c>
      <c r="F25" s="4">
        <v>21</v>
      </c>
      <c r="G25" s="4">
        <v>820</v>
      </c>
      <c r="H25" s="3" t="s">
        <v>19</v>
      </c>
    </row>
    <row r="26" spans="1:8" ht="15" thickBot="1" x14ac:dyDescent="0.4">
      <c r="A26" s="3" t="s">
        <v>72</v>
      </c>
      <c r="B26" s="3" t="s">
        <v>73</v>
      </c>
      <c r="C26" s="3" t="s">
        <v>26</v>
      </c>
      <c r="D26" s="3" t="s">
        <v>49</v>
      </c>
      <c r="E26" s="3" t="s">
        <v>12</v>
      </c>
      <c r="F26" s="4">
        <v>22</v>
      </c>
      <c r="G26" s="4">
        <v>500</v>
      </c>
      <c r="H26" s="3" t="s">
        <v>13</v>
      </c>
    </row>
    <row r="27" spans="1:8" ht="15" thickBot="1" x14ac:dyDescent="0.4">
      <c r="A27" s="3" t="s">
        <v>74</v>
      </c>
      <c r="B27" s="3" t="s">
        <v>75</v>
      </c>
      <c r="C27" s="3" t="s">
        <v>42</v>
      </c>
      <c r="D27" s="3" t="s">
        <v>11</v>
      </c>
      <c r="E27" s="3" t="s">
        <v>12</v>
      </c>
      <c r="F27" s="4">
        <v>23</v>
      </c>
      <c r="G27" s="4">
        <v>280</v>
      </c>
      <c r="H27" s="3" t="s">
        <v>19</v>
      </c>
    </row>
    <row r="28" spans="1:8" ht="15" thickBot="1" x14ac:dyDescent="0.4">
      <c r="A28" s="3" t="s">
        <v>76</v>
      </c>
      <c r="B28" s="3" t="s">
        <v>77</v>
      </c>
      <c r="C28" s="3" t="s">
        <v>36</v>
      </c>
      <c r="D28" s="3" t="s">
        <v>17</v>
      </c>
      <c r="E28" s="3" t="s">
        <v>12</v>
      </c>
      <c r="F28" s="4">
        <v>9</v>
      </c>
      <c r="G28" s="4">
        <v>340</v>
      </c>
      <c r="H28" s="3" t="s">
        <v>13</v>
      </c>
    </row>
    <row r="29" spans="1:8" ht="15" thickBot="1" x14ac:dyDescent="0.4">
      <c r="A29" s="3" t="s">
        <v>78</v>
      </c>
      <c r="B29" s="3" t="s">
        <v>79</v>
      </c>
      <c r="C29" s="3" t="s">
        <v>10</v>
      </c>
      <c r="D29" s="3" t="s">
        <v>37</v>
      </c>
      <c r="E29" s="3" t="s">
        <v>12</v>
      </c>
      <c r="F29" s="4">
        <v>10</v>
      </c>
      <c r="G29" s="4">
        <v>210</v>
      </c>
      <c r="H29" s="3" t="s">
        <v>19</v>
      </c>
    </row>
    <row r="30" spans="1:8" ht="15" thickBot="1" x14ac:dyDescent="0.4">
      <c r="A30" s="3" t="s">
        <v>80</v>
      </c>
      <c r="B30" s="3" t="s">
        <v>81</v>
      </c>
      <c r="C30" s="3" t="s">
        <v>16</v>
      </c>
      <c r="D30" s="3" t="s">
        <v>23</v>
      </c>
      <c r="E30" s="3" t="s">
        <v>18</v>
      </c>
      <c r="F30" s="4">
        <v>11</v>
      </c>
      <c r="G30" s="4">
        <v>230</v>
      </c>
      <c r="H30" s="3" t="s">
        <v>13</v>
      </c>
    </row>
    <row r="31" spans="1:8" ht="15" thickBot="1" x14ac:dyDescent="0.4">
      <c r="A31" s="3" t="s">
        <v>82</v>
      </c>
      <c r="B31" s="3" t="s">
        <v>83</v>
      </c>
      <c r="C31" s="3" t="s">
        <v>22</v>
      </c>
      <c r="D31" s="3" t="s">
        <v>17</v>
      </c>
      <c r="E31" s="3" t="s">
        <v>12</v>
      </c>
      <c r="F31" s="4">
        <v>12</v>
      </c>
      <c r="G31" s="4">
        <v>370</v>
      </c>
      <c r="H31" s="3" t="s">
        <v>13</v>
      </c>
    </row>
    <row r="32" spans="1:8" ht="15" thickBot="1" x14ac:dyDescent="0.4">
      <c r="A32" s="3" t="s">
        <v>84</v>
      </c>
      <c r="B32" s="3" t="s">
        <v>85</v>
      </c>
      <c r="C32" s="3" t="s">
        <v>26</v>
      </c>
      <c r="D32" s="3" t="s">
        <v>49</v>
      </c>
      <c r="E32" s="3" t="s">
        <v>18</v>
      </c>
      <c r="F32" s="4">
        <v>13</v>
      </c>
      <c r="G32" s="4">
        <v>150</v>
      </c>
      <c r="H32" s="3" t="s">
        <v>13</v>
      </c>
    </row>
    <row r="33" spans="1:8" ht="15" thickBot="1" x14ac:dyDescent="0.4">
      <c r="A33" s="3" t="s">
        <v>86</v>
      </c>
      <c r="B33" s="3" t="s">
        <v>87</v>
      </c>
      <c r="C33" s="3" t="s">
        <v>29</v>
      </c>
      <c r="D33" s="3" t="s">
        <v>11</v>
      </c>
      <c r="E33" s="3" t="s">
        <v>12</v>
      </c>
      <c r="F33" s="4">
        <v>14</v>
      </c>
      <c r="G33" s="4">
        <v>450</v>
      </c>
      <c r="H33" s="3" t="s">
        <v>13</v>
      </c>
    </row>
    <row r="34" spans="1:8" ht="15" thickBot="1" x14ac:dyDescent="0.4">
      <c r="A34" s="3" t="s">
        <v>88</v>
      </c>
      <c r="B34" s="3" t="s">
        <v>89</v>
      </c>
      <c r="C34" s="3" t="s">
        <v>16</v>
      </c>
      <c r="D34" s="3" t="s">
        <v>17</v>
      </c>
      <c r="E34" s="3" t="s">
        <v>12</v>
      </c>
      <c r="F34" s="4">
        <v>15</v>
      </c>
      <c r="G34" s="4">
        <v>210</v>
      </c>
      <c r="H34" s="3" t="s">
        <v>19</v>
      </c>
    </row>
    <row r="35" spans="1:8" ht="15" thickBot="1" x14ac:dyDescent="0.4">
      <c r="A35" s="3" t="s">
        <v>90</v>
      </c>
      <c r="B35" s="3" t="s">
        <v>91</v>
      </c>
      <c r="C35" s="3" t="s">
        <v>10</v>
      </c>
      <c r="D35" s="3" t="s">
        <v>23</v>
      </c>
      <c r="E35" s="3" t="s">
        <v>12</v>
      </c>
      <c r="F35" s="4">
        <v>16</v>
      </c>
      <c r="G35" s="4">
        <v>200</v>
      </c>
      <c r="H35" s="3" t="s">
        <v>19</v>
      </c>
    </row>
    <row r="36" spans="1:8" ht="15" thickBot="1" x14ac:dyDescent="0.4">
      <c r="A36" s="3" t="s">
        <v>92</v>
      </c>
      <c r="B36" s="3" t="s">
        <v>93</v>
      </c>
      <c r="C36" s="3" t="s">
        <v>22</v>
      </c>
      <c r="D36" s="3" t="s">
        <v>37</v>
      </c>
      <c r="E36" s="3" t="s">
        <v>12</v>
      </c>
      <c r="F36" s="4">
        <v>17</v>
      </c>
      <c r="G36" s="4">
        <v>499</v>
      </c>
      <c r="H36" s="3" t="s">
        <v>19</v>
      </c>
    </row>
    <row r="37" spans="1:8" ht="15" thickBot="1" x14ac:dyDescent="0.4">
      <c r="A37" s="3" t="s">
        <v>94</v>
      </c>
      <c r="B37" s="3" t="s">
        <v>95</v>
      </c>
      <c r="C37" s="3" t="s">
        <v>42</v>
      </c>
      <c r="D37" s="3" t="s">
        <v>11</v>
      </c>
      <c r="E37" s="3" t="s">
        <v>12</v>
      </c>
      <c r="F37" s="4">
        <v>18</v>
      </c>
      <c r="G37" s="4">
        <v>700</v>
      </c>
      <c r="H37" s="3" t="s">
        <v>19</v>
      </c>
    </row>
    <row r="38" spans="1:8" ht="15" thickBot="1" x14ac:dyDescent="0.4">
      <c r="A38" s="3" t="s">
        <v>96</v>
      </c>
      <c r="B38" s="3" t="s">
        <v>97</v>
      </c>
      <c r="C38" s="3" t="s">
        <v>36</v>
      </c>
      <c r="D38" s="3" t="s">
        <v>17</v>
      </c>
      <c r="E38" s="3" t="s">
        <v>18</v>
      </c>
      <c r="F38" s="4">
        <v>19</v>
      </c>
      <c r="G38" s="4">
        <v>310</v>
      </c>
      <c r="H38" s="3" t="s">
        <v>13</v>
      </c>
    </row>
    <row r="39" spans="1:8" ht="15" thickBot="1" x14ac:dyDescent="0.4">
      <c r="A39" s="3" t="s">
        <v>98</v>
      </c>
      <c r="B39" s="3" t="s">
        <v>99</v>
      </c>
      <c r="C39" s="3" t="s">
        <v>10</v>
      </c>
      <c r="D39" s="3" t="s">
        <v>49</v>
      </c>
      <c r="E39" s="3" t="s">
        <v>12</v>
      </c>
      <c r="F39" s="4">
        <v>20</v>
      </c>
      <c r="G39" s="4">
        <v>600</v>
      </c>
      <c r="H39" s="3" t="s">
        <v>13</v>
      </c>
    </row>
    <row r="40" spans="1:8" ht="15" thickBot="1" x14ac:dyDescent="0.4">
      <c r="A40" s="3" t="s">
        <v>100</v>
      </c>
      <c r="B40" s="3" t="s">
        <v>101</v>
      </c>
      <c r="C40" s="3" t="s">
        <v>16</v>
      </c>
      <c r="D40" s="3" t="s">
        <v>11</v>
      </c>
      <c r="E40" s="3" t="s">
        <v>12</v>
      </c>
      <c r="F40" s="4">
        <v>21</v>
      </c>
      <c r="G40" s="4">
        <v>180</v>
      </c>
      <c r="H40" s="3" t="s">
        <v>19</v>
      </c>
    </row>
    <row r="41" spans="1:8" ht="15" thickBot="1" x14ac:dyDescent="0.4">
      <c r="A41" s="3" t="s">
        <v>102</v>
      </c>
      <c r="B41" s="3" t="s">
        <v>103</v>
      </c>
      <c r="C41" s="3" t="s">
        <v>22</v>
      </c>
      <c r="D41" s="3" t="s">
        <v>17</v>
      </c>
      <c r="E41" s="3" t="s">
        <v>12</v>
      </c>
      <c r="F41" s="4">
        <v>22</v>
      </c>
      <c r="G41" s="4">
        <v>399</v>
      </c>
      <c r="H41" s="3" t="s">
        <v>19</v>
      </c>
    </row>
    <row r="42" spans="1:8" ht="15" thickBot="1" x14ac:dyDescent="0.4">
      <c r="A42" s="3" t="s">
        <v>104</v>
      </c>
      <c r="B42" s="3" t="s">
        <v>105</v>
      </c>
      <c r="C42" s="3" t="s">
        <v>26</v>
      </c>
      <c r="D42" s="3" t="s">
        <v>23</v>
      </c>
      <c r="E42" s="3" t="s">
        <v>12</v>
      </c>
      <c r="F42" s="4">
        <v>23</v>
      </c>
      <c r="G42" s="4">
        <v>550</v>
      </c>
      <c r="H42" s="3" t="s">
        <v>13</v>
      </c>
    </row>
    <row r="43" spans="1:8" ht="15" thickBot="1" x14ac:dyDescent="0.4">
      <c r="A43" s="3" t="s">
        <v>106</v>
      </c>
      <c r="B43" s="3" t="s">
        <v>107</v>
      </c>
      <c r="C43" s="3" t="s">
        <v>10</v>
      </c>
      <c r="D43" s="3" t="s">
        <v>37</v>
      </c>
      <c r="E43" s="3" t="s">
        <v>12</v>
      </c>
      <c r="F43" s="4">
        <v>9</v>
      </c>
      <c r="G43" s="4">
        <v>280</v>
      </c>
      <c r="H43" s="3" t="s">
        <v>19</v>
      </c>
    </row>
    <row r="44" spans="1:8" ht="15" thickBot="1" x14ac:dyDescent="0.4">
      <c r="A44" s="3" t="s">
        <v>108</v>
      </c>
      <c r="B44" s="3" t="s">
        <v>109</v>
      </c>
      <c r="C44" s="3" t="s">
        <v>16</v>
      </c>
      <c r="D44" s="3" t="s">
        <v>49</v>
      </c>
      <c r="E44" s="3" t="s">
        <v>18</v>
      </c>
      <c r="F44" s="4">
        <v>10</v>
      </c>
      <c r="G44" s="4">
        <v>150</v>
      </c>
      <c r="H44" s="3" t="s">
        <v>13</v>
      </c>
    </row>
    <row r="45" spans="1:8" ht="15" thickBot="1" x14ac:dyDescent="0.4">
      <c r="A45" s="3" t="s">
        <v>110</v>
      </c>
      <c r="B45" s="3" t="s">
        <v>111</v>
      </c>
      <c r="C45" s="3" t="s">
        <v>22</v>
      </c>
      <c r="D45" s="3" t="s">
        <v>11</v>
      </c>
      <c r="E45" s="3" t="s">
        <v>12</v>
      </c>
      <c r="F45" s="4">
        <v>11</v>
      </c>
      <c r="G45" s="4">
        <v>220</v>
      </c>
      <c r="H45" s="3" t="s">
        <v>13</v>
      </c>
    </row>
    <row r="46" spans="1:8" ht="15" thickBot="1" x14ac:dyDescent="0.4">
      <c r="A46" s="3" t="s">
        <v>112</v>
      </c>
      <c r="B46" s="3" t="s">
        <v>113</v>
      </c>
      <c r="C46" s="3" t="s">
        <v>36</v>
      </c>
      <c r="D46" s="3" t="s">
        <v>17</v>
      </c>
      <c r="E46" s="3" t="s">
        <v>12</v>
      </c>
      <c r="F46" s="4">
        <v>12</v>
      </c>
      <c r="G46" s="4">
        <v>130</v>
      </c>
      <c r="H46" s="3" t="s">
        <v>19</v>
      </c>
    </row>
    <row r="47" spans="1:8" ht="15" thickBot="1" x14ac:dyDescent="0.4">
      <c r="A47" s="3" t="s">
        <v>114</v>
      </c>
      <c r="B47" s="3" t="s">
        <v>115</v>
      </c>
      <c r="C47" s="3" t="s">
        <v>29</v>
      </c>
      <c r="D47" s="3" t="s">
        <v>37</v>
      </c>
      <c r="E47" s="3" t="s">
        <v>12</v>
      </c>
      <c r="F47" s="4">
        <v>13</v>
      </c>
      <c r="G47" s="4">
        <v>450</v>
      </c>
      <c r="H47" s="3" t="s">
        <v>19</v>
      </c>
    </row>
    <row r="48" spans="1:8" ht="15" thickBot="1" x14ac:dyDescent="0.4">
      <c r="A48" s="3" t="s">
        <v>116</v>
      </c>
      <c r="B48" s="3" t="s">
        <v>117</v>
      </c>
      <c r="C48" s="3" t="s">
        <v>22</v>
      </c>
      <c r="D48" s="3" t="s">
        <v>49</v>
      </c>
      <c r="E48" s="3" t="s">
        <v>12</v>
      </c>
      <c r="F48" s="4">
        <v>14</v>
      </c>
      <c r="G48" s="4">
        <v>200</v>
      </c>
      <c r="H48" s="3" t="s">
        <v>13</v>
      </c>
    </row>
    <row r="49" spans="1:8" ht="15" thickBot="1" x14ac:dyDescent="0.4">
      <c r="A49" s="3" t="s">
        <v>118</v>
      </c>
      <c r="B49" s="3" t="s">
        <v>119</v>
      </c>
      <c r="C49" s="3" t="s">
        <v>26</v>
      </c>
      <c r="D49" s="3" t="s">
        <v>17</v>
      </c>
      <c r="E49" s="3" t="s">
        <v>12</v>
      </c>
      <c r="F49" s="4">
        <v>15</v>
      </c>
      <c r="G49" s="4">
        <v>190</v>
      </c>
      <c r="H49" s="3" t="s">
        <v>19</v>
      </c>
    </row>
    <row r="50" spans="1:8" ht="15" thickBot="1" x14ac:dyDescent="0.4">
      <c r="A50" s="3" t="s">
        <v>120</v>
      </c>
      <c r="B50" s="3" t="s">
        <v>121</v>
      </c>
      <c r="C50" s="3" t="s">
        <v>36</v>
      </c>
      <c r="D50" s="3" t="s">
        <v>11</v>
      </c>
      <c r="E50" s="3" t="s">
        <v>12</v>
      </c>
      <c r="F50" s="4">
        <v>16</v>
      </c>
      <c r="G50" s="4">
        <v>300</v>
      </c>
      <c r="H50" s="3" t="s">
        <v>13</v>
      </c>
    </row>
    <row r="51" spans="1:8" ht="15" thickBot="1" x14ac:dyDescent="0.4">
      <c r="A51" s="3" t="s">
        <v>122</v>
      </c>
      <c r="B51" s="3" t="s">
        <v>123</v>
      </c>
      <c r="C51" s="3" t="s">
        <v>42</v>
      </c>
      <c r="D51" s="3" t="s">
        <v>23</v>
      </c>
      <c r="E51" s="3" t="s">
        <v>18</v>
      </c>
      <c r="F51" s="4">
        <v>17</v>
      </c>
      <c r="G51" s="4">
        <v>250</v>
      </c>
      <c r="H51" s="3" t="s">
        <v>13</v>
      </c>
    </row>
    <row r="52" spans="1:8" ht="15" thickBot="1" x14ac:dyDescent="0.4">
      <c r="A52" s="3" t="s">
        <v>124</v>
      </c>
      <c r="B52" s="3" t="s">
        <v>125</v>
      </c>
      <c r="C52" s="3" t="s">
        <v>10</v>
      </c>
      <c r="D52" s="3" t="s">
        <v>17</v>
      </c>
      <c r="E52" s="3" t="s">
        <v>12</v>
      </c>
      <c r="F52" s="4">
        <v>18</v>
      </c>
      <c r="G52" s="4">
        <v>299</v>
      </c>
      <c r="H52" s="3" t="s">
        <v>19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0104E6-35CB-467D-93D9-571CB5568E76}">
  <dimension ref="A2:L54"/>
  <sheetViews>
    <sheetView topLeftCell="A18" zoomScale="98" workbookViewId="0">
      <selection activeCell="L28" sqref="L28"/>
    </sheetView>
  </sheetViews>
  <sheetFormatPr defaultRowHeight="14.5" x14ac:dyDescent="0.35"/>
  <cols>
    <col min="1" max="1" width="10.90625" bestFit="1" customWidth="1"/>
    <col min="2" max="2" width="14.26953125" bestFit="1" customWidth="1"/>
    <col min="3" max="3" width="5.90625" bestFit="1" customWidth="1"/>
    <col min="11" max="11" width="12.6328125" bestFit="1" customWidth="1"/>
    <col min="12" max="12" width="14.26953125" bestFit="1" customWidth="1"/>
  </cols>
  <sheetData>
    <row r="2" spans="1:10" x14ac:dyDescent="0.35">
      <c r="G2">
        <f>GETPIVOTDATA("Amount",$A$3)</f>
        <v>17995</v>
      </c>
    </row>
    <row r="3" spans="1:10" x14ac:dyDescent="0.35">
      <c r="A3" t="s">
        <v>127</v>
      </c>
    </row>
    <row r="4" spans="1:10" x14ac:dyDescent="0.35">
      <c r="A4">
        <v>17995</v>
      </c>
      <c r="D4" s="44" t="s">
        <v>130</v>
      </c>
      <c r="E4" s="45"/>
    </row>
    <row r="5" spans="1:10" x14ac:dyDescent="0.35">
      <c r="D5" s="46"/>
      <c r="E5" s="47"/>
    </row>
    <row r="6" spans="1:10" x14ac:dyDescent="0.35">
      <c r="D6" s="46"/>
      <c r="E6" s="47"/>
    </row>
    <row r="7" spans="1:10" x14ac:dyDescent="0.35">
      <c r="D7" s="48"/>
      <c r="E7" s="49"/>
    </row>
    <row r="8" spans="1:10" ht="18.5" x14ac:dyDescent="0.45">
      <c r="A8" t="s">
        <v>128</v>
      </c>
      <c r="D8" s="50">
        <f>GETPIVOTDATA("Amount",$A$3)</f>
        <v>17995</v>
      </c>
      <c r="E8" s="51"/>
    </row>
    <row r="9" spans="1:10" x14ac:dyDescent="0.35">
      <c r="A9">
        <v>51</v>
      </c>
    </row>
    <row r="12" spans="1:10" x14ac:dyDescent="0.35">
      <c r="A12" s="6" t="s">
        <v>2</v>
      </c>
      <c r="B12" t="s">
        <v>127</v>
      </c>
    </row>
    <row r="13" spans="1:10" x14ac:dyDescent="0.35">
      <c r="A13" s="7" t="s">
        <v>10</v>
      </c>
      <c r="B13">
        <v>4509</v>
      </c>
    </row>
    <row r="14" spans="1:10" x14ac:dyDescent="0.35">
      <c r="A14" s="7" t="s">
        <v>36</v>
      </c>
      <c r="B14">
        <v>1720</v>
      </c>
      <c r="J14">
        <f>GETPIVOTDATA("Amount",$A$3)</f>
        <v>17995</v>
      </c>
    </row>
    <row r="15" spans="1:10" x14ac:dyDescent="0.35">
      <c r="A15" s="7" t="s">
        <v>26</v>
      </c>
      <c r="B15">
        <v>1890</v>
      </c>
    </row>
    <row r="16" spans="1:10" x14ac:dyDescent="0.35">
      <c r="A16" s="7" t="s">
        <v>29</v>
      </c>
      <c r="B16">
        <v>1500</v>
      </c>
    </row>
    <row r="17" spans="1:11" x14ac:dyDescent="0.35">
      <c r="A17" s="7" t="s">
        <v>42</v>
      </c>
      <c r="B17">
        <v>2539</v>
      </c>
    </row>
    <row r="18" spans="1:11" x14ac:dyDescent="0.35">
      <c r="A18" s="7" t="s">
        <v>16</v>
      </c>
      <c r="B18">
        <v>2209</v>
      </c>
    </row>
    <row r="19" spans="1:11" x14ac:dyDescent="0.35">
      <c r="A19" s="7" t="s">
        <v>22</v>
      </c>
      <c r="B19">
        <v>3628</v>
      </c>
    </row>
    <row r="20" spans="1:11" x14ac:dyDescent="0.35">
      <c r="A20" s="7" t="s">
        <v>126</v>
      </c>
      <c r="B20">
        <v>17995</v>
      </c>
    </row>
    <row r="24" spans="1:11" x14ac:dyDescent="0.35">
      <c r="A24" s="6" t="s">
        <v>4</v>
      </c>
      <c r="B24" t="s">
        <v>127</v>
      </c>
    </row>
    <row r="25" spans="1:11" x14ac:dyDescent="0.35">
      <c r="A25" s="7" t="s">
        <v>12</v>
      </c>
      <c r="B25">
        <v>14416</v>
      </c>
    </row>
    <row r="26" spans="1:11" x14ac:dyDescent="0.35">
      <c r="A26" s="7" t="s">
        <v>18</v>
      </c>
      <c r="B26">
        <v>3579</v>
      </c>
    </row>
    <row r="27" spans="1:11" x14ac:dyDescent="0.35">
      <c r="A27" s="7" t="s">
        <v>126</v>
      </c>
      <c r="B27">
        <v>17995</v>
      </c>
      <c r="K27" t="s">
        <v>129</v>
      </c>
    </row>
    <row r="30" spans="1:11" x14ac:dyDescent="0.35">
      <c r="A30" s="6" t="s">
        <v>7</v>
      </c>
      <c r="B30" t="s">
        <v>127</v>
      </c>
    </row>
    <row r="31" spans="1:11" x14ac:dyDescent="0.35">
      <c r="A31" s="7" t="s">
        <v>19</v>
      </c>
      <c r="B31">
        <v>7977</v>
      </c>
    </row>
    <row r="32" spans="1:11" x14ac:dyDescent="0.35">
      <c r="A32" s="7" t="s">
        <v>13</v>
      </c>
      <c r="B32">
        <v>10018</v>
      </c>
    </row>
    <row r="33" spans="1:12" x14ac:dyDescent="0.35">
      <c r="A33" s="7" t="s">
        <v>126</v>
      </c>
      <c r="B33">
        <v>17995</v>
      </c>
    </row>
    <row r="36" spans="1:12" x14ac:dyDescent="0.35">
      <c r="K36" s="6" t="s">
        <v>131</v>
      </c>
      <c r="L36" t="s">
        <v>127</v>
      </c>
    </row>
    <row r="37" spans="1:12" x14ac:dyDescent="0.35">
      <c r="K37" s="7" t="s">
        <v>49</v>
      </c>
      <c r="L37">
        <v>2750</v>
      </c>
    </row>
    <row r="38" spans="1:12" x14ac:dyDescent="0.35">
      <c r="K38" s="7" t="s">
        <v>11</v>
      </c>
      <c r="L38">
        <v>5319</v>
      </c>
    </row>
    <row r="39" spans="1:12" x14ac:dyDescent="0.35">
      <c r="K39" s="7" t="s">
        <v>23</v>
      </c>
      <c r="L39">
        <v>4209</v>
      </c>
    </row>
    <row r="40" spans="1:12" x14ac:dyDescent="0.35">
      <c r="K40" s="7" t="s">
        <v>37</v>
      </c>
      <c r="L40">
        <v>2049</v>
      </c>
    </row>
    <row r="41" spans="1:12" x14ac:dyDescent="0.35">
      <c r="K41" s="7" t="s">
        <v>17</v>
      </c>
      <c r="L41">
        <v>3668</v>
      </c>
    </row>
    <row r="42" spans="1:12" x14ac:dyDescent="0.35">
      <c r="K42" s="7" t="s">
        <v>126</v>
      </c>
      <c r="L42">
        <v>17995</v>
      </c>
    </row>
    <row r="53" spans="3:3" x14ac:dyDescent="0.35">
      <c r="C53" t="s">
        <v>129</v>
      </c>
    </row>
    <row r="54" spans="3:3" x14ac:dyDescent="0.35">
      <c r="C54">
        <v>17995</v>
      </c>
    </row>
  </sheetData>
  <mergeCells count="2">
    <mergeCell ref="D4:E7"/>
    <mergeCell ref="D8:E8"/>
  </mergeCells>
  <pageMargins left="0.7" right="0.7" top="0.75" bottom="0.75" header="0.3" footer="0.3"/>
  <pageSetup paperSize="9" orientation="portrait" r:id="rId8"/>
  <drawing r:id="rId9"/>
  <extLst>
    <ext xmlns:x14="http://schemas.microsoft.com/office/spreadsheetml/2009/9/main" uri="{A8765BA9-456A-4dab-B4F3-ACF838C121DE}">
      <x14:slicerList>
        <x14:slicer r:id="rId10"/>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F56330-3E7D-4A87-9821-AD2F939EB170}">
  <dimension ref="A1"/>
  <sheetViews>
    <sheetView showGridLines="0" workbookViewId="0">
      <selection activeCell="M9" sqref="M9"/>
    </sheetView>
  </sheetViews>
  <sheetFormatPr defaultRowHeight="14.5" x14ac:dyDescent="0.35"/>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CE90E-9571-4C1C-8809-8C9EFAE3AE16}">
  <dimension ref="A1:X10"/>
  <sheetViews>
    <sheetView showGridLines="0" tabSelected="1" zoomScaleNormal="100" workbookViewId="0">
      <selection activeCell="T7" sqref="T7"/>
    </sheetView>
  </sheetViews>
  <sheetFormatPr defaultRowHeight="14.5" x14ac:dyDescent="0.35"/>
  <cols>
    <col min="14" max="14" width="6.453125" customWidth="1"/>
    <col min="16" max="16" width="10.36328125" customWidth="1"/>
    <col min="17" max="17" width="3.90625" customWidth="1"/>
    <col min="19" max="19" width="13.36328125" customWidth="1"/>
  </cols>
  <sheetData>
    <row r="1" spans="1:24" x14ac:dyDescent="0.35">
      <c r="A1" s="11" t="s">
        <v>132</v>
      </c>
      <c r="B1" s="12"/>
      <c r="C1" s="12"/>
      <c r="D1" s="12"/>
      <c r="E1" s="12"/>
      <c r="F1" s="12"/>
      <c r="G1" s="12"/>
      <c r="H1" s="12"/>
      <c r="I1" s="12"/>
      <c r="J1" s="12"/>
      <c r="K1" s="12"/>
      <c r="L1" s="12"/>
      <c r="M1" s="12"/>
      <c r="N1" s="12"/>
      <c r="O1" s="12"/>
      <c r="P1" s="12"/>
      <c r="Q1" s="12"/>
      <c r="R1" s="12"/>
      <c r="S1" s="12"/>
    </row>
    <row r="2" spans="1:24" x14ac:dyDescent="0.35">
      <c r="A2" s="12"/>
      <c r="B2" s="12"/>
      <c r="C2" s="12"/>
      <c r="D2" s="12"/>
      <c r="E2" s="12"/>
      <c r="F2" s="12"/>
      <c r="G2" s="12"/>
      <c r="H2" s="12"/>
      <c r="I2" s="12"/>
      <c r="J2" s="12"/>
      <c r="K2" s="12"/>
      <c r="L2" s="12"/>
      <c r="M2" s="12"/>
      <c r="N2" s="12"/>
      <c r="O2" s="12"/>
      <c r="P2" s="12"/>
      <c r="Q2" s="12"/>
      <c r="R2" s="12"/>
      <c r="S2" s="12"/>
    </row>
    <row r="3" spans="1:24" ht="15" thickBot="1" x14ac:dyDescent="0.4">
      <c r="A3" s="12"/>
      <c r="B3" s="12"/>
      <c r="C3" s="12"/>
      <c r="D3" s="12"/>
      <c r="E3" s="12"/>
      <c r="F3" s="12"/>
      <c r="G3" s="12"/>
      <c r="H3" s="12"/>
      <c r="I3" s="12"/>
      <c r="J3" s="12"/>
      <c r="K3" s="12"/>
      <c r="L3" s="12"/>
      <c r="M3" s="12"/>
      <c r="N3" s="12"/>
      <c r="O3" s="13"/>
      <c r="P3" s="13"/>
      <c r="Q3" s="13"/>
      <c r="R3" s="13"/>
      <c r="S3" s="13"/>
    </row>
    <row r="4" spans="1:24" x14ac:dyDescent="0.35">
      <c r="O4" s="14" t="s">
        <v>133</v>
      </c>
      <c r="P4" s="15"/>
      <c r="Q4" s="16"/>
      <c r="R4" s="32" t="s">
        <v>134</v>
      </c>
      <c r="S4" s="33"/>
    </row>
    <row r="5" spans="1:24" x14ac:dyDescent="0.35">
      <c r="O5" s="17"/>
      <c r="P5" s="18"/>
      <c r="Q5" s="19"/>
      <c r="R5" s="34"/>
      <c r="S5" s="35"/>
    </row>
    <row r="6" spans="1:24" ht="15" thickBot="1" x14ac:dyDescent="0.4">
      <c r="O6" s="20"/>
      <c r="P6" s="21"/>
      <c r="Q6" s="22"/>
      <c r="R6" s="36"/>
      <c r="S6" s="37"/>
    </row>
    <row r="7" spans="1:24" x14ac:dyDescent="0.35">
      <c r="O7" s="23">
        <f>GETPIVOTDATA("Amount",Sheet1!$A$3)</f>
        <v>17995</v>
      </c>
      <c r="P7" s="24"/>
      <c r="Q7" s="25"/>
      <c r="R7" s="38">
        <f>GETPIVOTDATA("User_ID",Sheet1!$A$8)</f>
        <v>51</v>
      </c>
      <c r="S7" s="39"/>
    </row>
    <row r="8" spans="1:24" x14ac:dyDescent="0.35">
      <c r="O8" s="26"/>
      <c r="P8" s="27"/>
      <c r="Q8" s="28"/>
      <c r="R8" s="40"/>
      <c r="S8" s="41"/>
      <c r="X8" t="s">
        <v>135</v>
      </c>
    </row>
    <row r="9" spans="1:24" ht="15" thickBot="1" x14ac:dyDescent="0.4">
      <c r="O9" s="29"/>
      <c r="P9" s="30"/>
      <c r="Q9" s="31"/>
      <c r="R9" s="42"/>
      <c r="S9" s="43"/>
    </row>
    <row r="10" spans="1:24" x14ac:dyDescent="0.35">
      <c r="M10" t="s">
        <v>129</v>
      </c>
    </row>
  </sheetData>
  <mergeCells count="5">
    <mergeCell ref="A1:S3"/>
    <mergeCell ref="O4:Q6"/>
    <mergeCell ref="O7:Q9"/>
    <mergeCell ref="R4:S6"/>
    <mergeCell ref="R7:S9"/>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Sheet2</vt:lpstr>
      <vt:lpstr>Sheet1</vt:lpstr>
      <vt:lpstr>Sheet3</vt:lpstr>
      <vt:lpstr>Sheet4</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Aman Barman</dc:creator>
  <cp:keywords/>
  <dc:description/>
  <cp:lastModifiedBy>amanbarman0607@outlook.com</cp:lastModifiedBy>
  <cp:revision/>
  <dcterms:created xsi:type="dcterms:W3CDTF">2015-06-05T18:17:20Z</dcterms:created>
  <dcterms:modified xsi:type="dcterms:W3CDTF">2026-08-12T15:22:11Z</dcterms:modified>
  <cp:category/>
  <cp:contentStatus/>
</cp:coreProperties>
</file>